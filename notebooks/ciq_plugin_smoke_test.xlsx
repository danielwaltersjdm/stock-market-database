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Q Plugin Smok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50" customWidth="1" min="4" max="4"/>
    <col width="32" customWidth="1" min="5" max="5"/>
    <col width="42" customWidth="1" min="6" max="6"/>
  </cols>
  <sheetData>
    <row r="1">
      <c r="A1" s="1" t="inlineStr">
        <is>
          <t>Ticker</t>
        </is>
      </c>
      <c r="B1" s="1" t="inlineStr">
        <is>
          <t>Measure</t>
        </is>
      </c>
      <c r="C1" s="1" t="inlineStr">
        <is>
          <t>Period</t>
        </is>
      </c>
      <c r="D1" s="1" t="inlineStr">
        <is>
          <t>Formula (as text for reference)</t>
        </is>
      </c>
      <c r="E1" s="1" t="inlineStr">
        <is>
          <t>Returned Value</t>
        </is>
      </c>
      <c r="F1" s="1" t="inlineStr">
        <is>
          <t>Notes</t>
        </is>
      </c>
    </row>
    <row r="2">
      <c r="A2" t="inlineStr">
        <is>
          <t>AAPL</t>
        </is>
      </c>
      <c r="B2" t="inlineStr">
        <is>
          <t>IQ_GUIDANCE_EPS_MEAN</t>
        </is>
      </c>
      <c r="C2" t="inlineStr">
        <is>
          <t>FY2024</t>
        </is>
      </c>
      <c r="D2">
        <f>CIQ("AAPL","IQ_GUIDANCE_EPS_MEAN","FY2024")</f>
        <v/>
      </c>
      <c r="E2">
        <f>CIQ("AAPL","IQ_GUIDANCE_EPS_MEAN","FY2024")</f>
        <v/>
      </c>
      <c r="F2" t="inlineStr">
        <is>
          <t>midpoint management EPS guidance</t>
        </is>
      </c>
    </row>
    <row r="3">
      <c r="A3" t="inlineStr">
        <is>
          <t>AAPL</t>
        </is>
      </c>
      <c r="B3" t="inlineStr">
        <is>
          <t>IQ_GUIDANCE_EPS_HIGH</t>
        </is>
      </c>
      <c r="C3" t="inlineStr">
        <is>
          <t>FY2024</t>
        </is>
      </c>
      <c r="D3">
        <f>CIQ("AAPL","IQ_GUIDANCE_EPS_HIGH","FY2024")</f>
        <v/>
      </c>
      <c r="E3">
        <f>CIQ("AAPL","IQ_GUIDANCE_EPS_HIGH","FY2024")</f>
        <v/>
      </c>
      <c r="F3" t="inlineStr">
        <is>
          <t>upper end of guidance range</t>
        </is>
      </c>
    </row>
    <row r="4">
      <c r="A4" t="inlineStr">
        <is>
          <t>AAPL</t>
        </is>
      </c>
      <c r="B4" t="inlineStr">
        <is>
          <t>IQ_GUIDANCE_EPS_LOW</t>
        </is>
      </c>
      <c r="C4" t="inlineStr">
        <is>
          <t>FY2024</t>
        </is>
      </c>
      <c r="D4">
        <f>CIQ("AAPL","IQ_GUIDANCE_EPS_LOW","FY2024")</f>
        <v/>
      </c>
      <c r="E4">
        <f>CIQ("AAPL","IQ_GUIDANCE_EPS_LOW","FY2024")</f>
        <v/>
      </c>
      <c r="F4" t="inlineStr">
        <is>
          <t>lower end of guidance range</t>
        </is>
      </c>
    </row>
    <row r="5">
      <c r="A5" t="inlineStr">
        <is>
          <t>AAPL</t>
        </is>
      </c>
      <c r="B5" t="inlineStr">
        <is>
          <t>IQ_GUIDANCE_REVENUE_MEAN</t>
        </is>
      </c>
      <c r="C5" t="inlineStr">
        <is>
          <t>FY2024</t>
        </is>
      </c>
      <c r="D5">
        <f>CIQ("AAPL","IQ_GUIDANCE_REVENUE_MEAN","FY2024")</f>
        <v/>
      </c>
      <c r="E5">
        <f>CIQ("AAPL","IQ_GUIDANCE_REVENUE_MEAN","FY2024")</f>
        <v/>
      </c>
      <c r="F5" t="inlineStr">
        <is>
          <t>midpoint revenue guidance</t>
        </is>
      </c>
    </row>
    <row r="6">
      <c r="A6" t="inlineStr">
        <is>
          <t>MSFT</t>
        </is>
      </c>
      <c r="B6" t="inlineStr">
        <is>
          <t>IQ_GUIDANCE_EPS_MEAN</t>
        </is>
      </c>
      <c r="C6" t="inlineStr">
        <is>
          <t>FY2024</t>
        </is>
      </c>
      <c r="D6">
        <f>CIQ("MSFT","IQ_GUIDANCE_EPS_MEAN","FY2024")</f>
        <v/>
      </c>
      <c r="E6">
        <f>CIQ("MSFT","IQ_GUIDANCE_EPS_MEAN","FY2024")</f>
        <v/>
      </c>
      <c r="F6" t="inlineStr">
        <is>
          <t>midpoint management EPS guidance</t>
        </is>
      </c>
    </row>
    <row r="7">
      <c r="A7" t="inlineStr">
        <is>
          <t>MSFT</t>
        </is>
      </c>
      <c r="B7" t="inlineStr">
        <is>
          <t>IQ_GUIDANCE_EPS_HIGH</t>
        </is>
      </c>
      <c r="C7" t="inlineStr">
        <is>
          <t>FY2024</t>
        </is>
      </c>
      <c r="D7">
        <f>CIQ("MSFT","IQ_GUIDANCE_EPS_HIGH","FY2024")</f>
        <v/>
      </c>
      <c r="E7">
        <f>CIQ("MSFT","IQ_GUIDANCE_EPS_HIGH","FY2024")</f>
        <v/>
      </c>
      <c r="F7" t="inlineStr">
        <is>
          <t>upper end of guidance range</t>
        </is>
      </c>
    </row>
    <row r="8">
      <c r="A8" t="inlineStr">
        <is>
          <t>MSFT</t>
        </is>
      </c>
      <c r="B8" t="inlineStr">
        <is>
          <t>IQ_GUIDANCE_EPS_LOW</t>
        </is>
      </c>
      <c r="C8" t="inlineStr">
        <is>
          <t>FY2024</t>
        </is>
      </c>
      <c r="D8">
        <f>CIQ("MSFT","IQ_GUIDANCE_EPS_LOW","FY2024")</f>
        <v/>
      </c>
      <c r="E8">
        <f>CIQ("MSFT","IQ_GUIDANCE_EPS_LOW","FY2024")</f>
        <v/>
      </c>
      <c r="F8" t="inlineStr">
        <is>
          <t>lower end of guidance range</t>
        </is>
      </c>
    </row>
    <row r="9">
      <c r="A9" t="inlineStr">
        <is>
          <t>MSFT</t>
        </is>
      </c>
      <c r="B9" t="inlineStr">
        <is>
          <t>IQ_GUIDANCE_REVENUE_MEAN</t>
        </is>
      </c>
      <c r="C9" t="inlineStr">
        <is>
          <t>FY2024</t>
        </is>
      </c>
      <c r="D9">
        <f>CIQ("MSFT","IQ_GUIDANCE_REVENUE_MEAN","FY2024")</f>
        <v/>
      </c>
      <c r="E9">
        <f>CIQ("MSFT","IQ_GUIDANCE_REVENUE_MEAN","FY2024")</f>
        <v/>
      </c>
      <c r="F9" t="inlineStr">
        <is>
          <t>midpoint revenue guidance</t>
        </is>
      </c>
    </row>
    <row r="10">
      <c r="A10" t="inlineStr">
        <is>
          <t>AMZN</t>
        </is>
      </c>
      <c r="B10" t="inlineStr">
        <is>
          <t>IQ_GUIDANCE_EPS_MEAN</t>
        </is>
      </c>
      <c r="C10" t="inlineStr">
        <is>
          <t>FY2024</t>
        </is>
      </c>
      <c r="D10">
        <f>CIQ("AMZN","IQ_GUIDANCE_EPS_MEAN","FY2024")</f>
        <v/>
      </c>
      <c r="E10">
        <f>CIQ("AMZN","IQ_GUIDANCE_EPS_MEAN","FY2024")</f>
        <v/>
      </c>
      <c r="F10" t="inlineStr">
        <is>
          <t>midpoint management EPS guidance</t>
        </is>
      </c>
    </row>
    <row r="11">
      <c r="A11" t="inlineStr">
        <is>
          <t>AMZN</t>
        </is>
      </c>
      <c r="B11" t="inlineStr">
        <is>
          <t>IQ_GUIDANCE_EPS_HIGH</t>
        </is>
      </c>
      <c r="C11" t="inlineStr">
        <is>
          <t>FY2024</t>
        </is>
      </c>
      <c r="D11">
        <f>CIQ("AMZN","IQ_GUIDANCE_EPS_HIGH","FY2024")</f>
        <v/>
      </c>
      <c r="E11">
        <f>CIQ("AMZN","IQ_GUIDANCE_EPS_HIGH","FY2024")</f>
        <v/>
      </c>
      <c r="F11" t="inlineStr">
        <is>
          <t>upper end of guidance range</t>
        </is>
      </c>
    </row>
    <row r="12">
      <c r="A12" t="inlineStr">
        <is>
          <t>AMZN</t>
        </is>
      </c>
      <c r="B12" t="inlineStr">
        <is>
          <t>IQ_GUIDANCE_EPS_LOW</t>
        </is>
      </c>
      <c r="C12" t="inlineStr">
        <is>
          <t>FY2024</t>
        </is>
      </c>
      <c r="D12">
        <f>CIQ("AMZN","IQ_GUIDANCE_EPS_LOW","FY2024")</f>
        <v/>
      </c>
      <c r="E12">
        <f>CIQ("AMZN","IQ_GUIDANCE_EPS_LOW","FY2024")</f>
        <v/>
      </c>
      <c r="F12" t="inlineStr">
        <is>
          <t>lower end of guidance range</t>
        </is>
      </c>
    </row>
    <row r="13">
      <c r="A13" t="inlineStr">
        <is>
          <t>AMZN</t>
        </is>
      </c>
      <c r="B13" t="inlineStr">
        <is>
          <t>IQ_GUIDANCE_REVENUE_MEAN</t>
        </is>
      </c>
      <c r="C13" t="inlineStr">
        <is>
          <t>FY2024</t>
        </is>
      </c>
      <c r="D13">
        <f>CIQ("AMZN","IQ_GUIDANCE_REVENUE_MEAN","FY2024")</f>
        <v/>
      </c>
      <c r="E13">
        <f>CIQ("AMZN","IQ_GUIDANCE_REVENUE_MEAN","FY2024")</f>
        <v/>
      </c>
      <c r="F13" t="inlineStr">
        <is>
          <t>midpoint revenue guidance</t>
        </is>
      </c>
    </row>
    <row r="14">
      <c r="A14" t="inlineStr">
        <is>
          <t>GOOGL</t>
        </is>
      </c>
      <c r="B14" t="inlineStr">
        <is>
          <t>IQ_GUIDANCE_EPS_MEAN</t>
        </is>
      </c>
      <c r="C14" t="inlineStr">
        <is>
          <t>FY2024</t>
        </is>
      </c>
      <c r="D14">
        <f>CIQ("GOOGL","IQ_GUIDANCE_EPS_MEAN","FY2024")</f>
        <v/>
      </c>
      <c r="E14">
        <f>CIQ("GOOGL","IQ_GUIDANCE_EPS_MEAN","FY2024")</f>
        <v/>
      </c>
      <c r="F14" t="inlineStr">
        <is>
          <t>midpoint management EPS guidance</t>
        </is>
      </c>
    </row>
    <row r="15">
      <c r="A15" t="inlineStr">
        <is>
          <t>GOOGL</t>
        </is>
      </c>
      <c r="B15" t="inlineStr">
        <is>
          <t>IQ_GUIDANCE_EPS_HIGH</t>
        </is>
      </c>
      <c r="C15" t="inlineStr">
        <is>
          <t>FY2024</t>
        </is>
      </c>
      <c r="D15">
        <f>CIQ("GOOGL","IQ_GUIDANCE_EPS_HIGH","FY2024")</f>
        <v/>
      </c>
      <c r="E15">
        <f>CIQ("GOOGL","IQ_GUIDANCE_EPS_HIGH","FY2024")</f>
        <v/>
      </c>
      <c r="F15" t="inlineStr">
        <is>
          <t>upper end of guidance range</t>
        </is>
      </c>
    </row>
    <row r="16">
      <c r="A16" t="inlineStr">
        <is>
          <t>GOOGL</t>
        </is>
      </c>
      <c r="B16" t="inlineStr">
        <is>
          <t>IQ_GUIDANCE_EPS_LOW</t>
        </is>
      </c>
      <c r="C16" t="inlineStr">
        <is>
          <t>FY2024</t>
        </is>
      </c>
      <c r="D16">
        <f>CIQ("GOOGL","IQ_GUIDANCE_EPS_LOW","FY2024")</f>
        <v/>
      </c>
      <c r="E16">
        <f>CIQ("GOOGL","IQ_GUIDANCE_EPS_LOW","FY2024")</f>
        <v/>
      </c>
      <c r="F16" t="inlineStr">
        <is>
          <t>lower end of guidance range</t>
        </is>
      </c>
    </row>
    <row r="17">
      <c r="A17" t="inlineStr">
        <is>
          <t>GOOGL</t>
        </is>
      </c>
      <c r="B17" t="inlineStr">
        <is>
          <t>IQ_GUIDANCE_REVENUE_MEAN</t>
        </is>
      </c>
      <c r="C17" t="inlineStr">
        <is>
          <t>FY2024</t>
        </is>
      </c>
      <c r="D17">
        <f>CIQ("GOOGL","IQ_GUIDANCE_REVENUE_MEAN","FY2024")</f>
        <v/>
      </c>
      <c r="E17">
        <f>CIQ("GOOGL","IQ_GUIDANCE_REVENUE_MEAN","FY2024")</f>
        <v/>
      </c>
      <c r="F17" t="inlineStr">
        <is>
          <t>midpoint revenue guidance</t>
        </is>
      </c>
    </row>
    <row r="18">
      <c r="A18" t="inlineStr">
        <is>
          <t>JNJ</t>
        </is>
      </c>
      <c r="B18" t="inlineStr">
        <is>
          <t>IQ_GUIDANCE_EPS_MEAN</t>
        </is>
      </c>
      <c r="C18" t="inlineStr">
        <is>
          <t>FY2024</t>
        </is>
      </c>
      <c r="D18">
        <f>CIQ("JNJ","IQ_GUIDANCE_EPS_MEAN","FY2024")</f>
        <v/>
      </c>
      <c r="E18">
        <f>CIQ("JNJ","IQ_GUIDANCE_EPS_MEAN","FY2024")</f>
        <v/>
      </c>
      <c r="F18" t="inlineStr">
        <is>
          <t>midpoint management EPS guidance</t>
        </is>
      </c>
    </row>
    <row r="19">
      <c r="A19" t="inlineStr">
        <is>
          <t>JNJ</t>
        </is>
      </c>
      <c r="B19" t="inlineStr">
        <is>
          <t>IQ_GUIDANCE_EPS_HIGH</t>
        </is>
      </c>
      <c r="C19" t="inlineStr">
        <is>
          <t>FY2024</t>
        </is>
      </c>
      <c r="D19">
        <f>CIQ("JNJ","IQ_GUIDANCE_EPS_HIGH","FY2024")</f>
        <v/>
      </c>
      <c r="E19">
        <f>CIQ("JNJ","IQ_GUIDANCE_EPS_HIGH","FY2024")</f>
        <v/>
      </c>
      <c r="F19" t="inlineStr">
        <is>
          <t>upper end of guidance range</t>
        </is>
      </c>
    </row>
    <row r="20">
      <c r="A20" t="inlineStr">
        <is>
          <t>JNJ</t>
        </is>
      </c>
      <c r="B20" t="inlineStr">
        <is>
          <t>IQ_GUIDANCE_EPS_LOW</t>
        </is>
      </c>
      <c r="C20" t="inlineStr">
        <is>
          <t>FY2024</t>
        </is>
      </c>
      <c r="D20">
        <f>CIQ("JNJ","IQ_GUIDANCE_EPS_LOW","FY2024")</f>
        <v/>
      </c>
      <c r="E20">
        <f>CIQ("JNJ","IQ_GUIDANCE_EPS_LOW","FY2024")</f>
        <v/>
      </c>
      <c r="F20" t="inlineStr">
        <is>
          <t>lower end of guidance range</t>
        </is>
      </c>
    </row>
    <row r="21">
      <c r="A21" t="inlineStr">
        <is>
          <t>JNJ</t>
        </is>
      </c>
      <c r="B21" t="inlineStr">
        <is>
          <t>IQ_GUIDANCE_REVENUE_MEAN</t>
        </is>
      </c>
      <c r="C21" t="inlineStr">
        <is>
          <t>FY2024</t>
        </is>
      </c>
      <c r="D21">
        <f>CIQ("JNJ","IQ_GUIDANCE_REVENUE_MEAN","FY2024")</f>
        <v/>
      </c>
      <c r="E21">
        <f>CIQ("JNJ","IQ_GUIDANCE_REVENUE_MEAN","FY2024")</f>
        <v/>
      </c>
      <c r="F21" t="inlineStr">
        <is>
          <t>midpoint revenue guidance</t>
        </is>
      </c>
    </row>
    <row r="24">
      <c r="A24" s="2" t="inlineStr">
        <is>
          <t>Instructions:</t>
        </is>
      </c>
    </row>
    <row r="25">
      <c r="A25" t="inlineStr">
        <is>
          <t>1. Open this file in Excel on a machine with the CIQ Office Plug-In installed.</t>
        </is>
      </c>
    </row>
    <row r="26">
      <c r="A26" t="inlineStr">
        <is>
          <t>2. Sign in to the plug-in if prompted (S&amp;P Capital IQ ribbon).</t>
        </is>
      </c>
    </row>
    <row r="27">
      <c r="A27" t="inlineStr">
        <is>
          <t>3. On the ribbon: S&amp;P Capital IQ -&gt; Refresh All (or Ctrl+Shift+F9).</t>
        </is>
      </c>
    </row>
    <row r="28">
      <c r="A28" t="inlineStr">
        <is>
          <t>4. Wait for values to populate in column E (plug-in replaces the formulas with values).</t>
        </is>
      </c>
    </row>
    <row r="29">
      <c r="A29" t="inlineStr">
        <is>
          <t>5. Save and close the file.</t>
        </is>
      </c>
    </row>
    <row r="30">
      <c r="A30" t="inlineStr">
        <is>
          <t>6. Tell Claude it is ready; Claude will read it back and report what worked.</t>
        </is>
      </c>
    </row>
    <row r="32">
      <c r="A32" s="3" t="inlineStr">
        <is>
          <t>If any formula returns an error (#N/A, #NAME?, #REF!), note which and we will try alternate syntax.</t>
        </is>
      </c>
    </row>
  </sheetData>
  <mergeCells count="7">
    <mergeCell ref="A28:F28"/>
    <mergeCell ref="A32:F32"/>
    <mergeCell ref="A27:F27"/>
    <mergeCell ref="A26:F26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2026-04-22T17:47:46Z</dcterms:created>
  <dcterms:modified xmlns:dcterms="http://purl.org/dc/terms/" xmlns:xsi="http://www.w3.org/2001/XMLSchema-instance" xsi:type="dcterms:W3CDTF">2026-04-22T17:47:46Z</dcterms:modified>
</cp:coreProperties>
</file>