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EC2EEAF3-D0CF-410F-9116-6B8F0E3948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ance Chunk 7" sheetId="1" r:id="rId1"/>
  </sheets>
  <definedNames>
    <definedName name="CIQWBGuid" hidden="1">"96cae47b-de7f-4a0b-889b-893ccae69726"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6" i="1" l="1"/>
  <c r="E547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<sst xmlns="http://schemas.openxmlformats.org/spreadsheetml/2006/main" count="2736" uniqueCount="585">
  <si>
    <t>Ticker</t>
  </si>
  <si>
    <t>Measure</t>
  </si>
  <si>
    <t>Mnemonic</t>
  </si>
  <si>
    <t>Period</t>
  </si>
  <si>
    <t>Value</t>
  </si>
  <si>
    <t>Formula (reference)</t>
  </si>
  <si>
    <t>XLNX</t>
  </si>
  <si>
    <t>EPS Excl. Excep/GW (point)</t>
  </si>
  <si>
    <t>IQ_EPS_EXCL_GUIDANCE</t>
  </si>
  <si>
    <t>FY2014</t>
  </si>
  <si>
    <t>CIQ("XLNX","IQ_EPS_EXCL_GUIDANCE","FY2014")</t>
  </si>
  <si>
    <t>FY2015</t>
  </si>
  <si>
    <t>CIQ("XLNX","IQ_EPS_EXCL_GUIDANCE","FY2015")</t>
  </si>
  <si>
    <t>FY2016</t>
  </si>
  <si>
    <t>CIQ("XLNX","IQ_EPS_EXCL_GUIDANCE","FY2016")</t>
  </si>
  <si>
    <t>FY2017</t>
  </si>
  <si>
    <t>CIQ("XLNX","IQ_EPS_EXCL_GUIDANCE","FY2017")</t>
  </si>
  <si>
    <t>FY2018</t>
  </si>
  <si>
    <t>CIQ("XLNX","IQ_EPS_EXCL_GUIDANCE","FY2018")</t>
  </si>
  <si>
    <t>FY2019</t>
  </si>
  <si>
    <t>CIQ("XLNX","IQ_EPS_EXCL_GUIDANCE","FY2019")</t>
  </si>
  <si>
    <t>EPS Excl. Excep/GW High</t>
  </si>
  <si>
    <t>IQ_EPS_EXCL_HIGH_GUIDANCE</t>
  </si>
  <si>
    <t>CIQ("XLNX","IQ_EPS_EXCL_HIGH_GUIDANCE","FY2014")</t>
  </si>
  <si>
    <t>CIQ("XLNX","IQ_EPS_EXCL_HIGH_GUIDANCE","FY2015")</t>
  </si>
  <si>
    <t>CIQ("XLNX","IQ_EPS_EXCL_HIGH_GUIDANCE","FY2016")</t>
  </si>
  <si>
    <t>CIQ("XLNX","IQ_EPS_EXCL_HIGH_GUIDANCE","FY2017")</t>
  </si>
  <si>
    <t>CIQ("XLNX","IQ_EPS_EXCL_HIGH_GUIDANCE","FY2018")</t>
  </si>
  <si>
    <t>CIQ("XLNX","IQ_EPS_EXCL_HIGH_GUIDANCE","FY2019")</t>
  </si>
  <si>
    <t>EPS Excl. Excep/GW Low</t>
  </si>
  <si>
    <t>IQ_EPS_EXCL_LOW_GUIDANCE</t>
  </si>
  <si>
    <t>CIQ("XLNX","IQ_EPS_EXCL_LOW_GUIDANCE","FY2014")</t>
  </si>
  <si>
    <t>CIQ("XLNX","IQ_EPS_EXCL_LOW_GUIDANCE","FY2015")</t>
  </si>
  <si>
    <t>CIQ("XLNX","IQ_EPS_EXCL_LOW_GUIDANCE","FY2016")</t>
  </si>
  <si>
    <t>CIQ("XLNX","IQ_EPS_EXCL_LOW_GUIDANCE","FY2017")</t>
  </si>
  <si>
    <t>CIQ("XLNX","IQ_EPS_EXCL_LOW_GUIDANCE","FY2018")</t>
  </si>
  <si>
    <t>CIQ("XLNX","IQ_EPS_EXCL_LOW_GUIDANCE","FY2019")</t>
  </si>
  <si>
    <t>Revenue (point)</t>
  </si>
  <si>
    <t>IQ_REVENUE_GUIDANCE</t>
  </si>
  <si>
    <t>CIQ("XLNX","IQ_REVENUE_GUIDANCE","FY2014")</t>
  </si>
  <si>
    <t>CIQ("XLNX","IQ_REVENUE_GUIDANCE","FY2015")</t>
  </si>
  <si>
    <t>CIQ("XLNX","IQ_REVENUE_GUIDANCE","FY2016")</t>
  </si>
  <si>
    <t>CIQ("XLNX","IQ_REVENUE_GUIDANCE","FY2017")</t>
  </si>
  <si>
    <t>CIQ("XLNX","IQ_REVENUE_GUIDANCE","FY2018")</t>
  </si>
  <si>
    <t>CIQ("XLNX","IQ_REVENUE_GUIDANCE","FY2019")</t>
  </si>
  <si>
    <t>Revenue High</t>
  </si>
  <si>
    <t>IQ_REVENUE_HIGH_GUIDANCE</t>
  </si>
  <si>
    <t>CIQ("XLNX","IQ_REVENUE_HIGH_GUIDANCE","FY2014")</t>
  </si>
  <si>
    <t>CIQ("XLNX","IQ_REVENUE_HIGH_GUIDANCE","FY2015")</t>
  </si>
  <si>
    <t>CIQ("XLNX","IQ_REVENUE_HIGH_GUIDANCE","FY2016")</t>
  </si>
  <si>
    <t>CIQ("XLNX","IQ_REVENUE_HIGH_GUIDANCE","FY2017")</t>
  </si>
  <si>
    <t>CIQ("XLNX","IQ_REVENUE_HIGH_GUIDANCE","FY2018")</t>
  </si>
  <si>
    <t>CIQ("XLNX","IQ_REVENUE_HIGH_GUIDANCE","FY2019")</t>
  </si>
  <si>
    <t>Revenue Low</t>
  </si>
  <si>
    <t>IQ_REVENUE_LOW_GUIDANCE</t>
  </si>
  <si>
    <t>CIQ("XLNX","IQ_REVENUE_LOW_GUIDANCE","FY2014")</t>
  </si>
  <si>
    <t>CIQ("XLNX","IQ_REVENUE_LOW_GUIDANCE","FY2015")</t>
  </si>
  <si>
    <t>CIQ("XLNX","IQ_REVENUE_LOW_GUIDANCE","FY2016")</t>
  </si>
  <si>
    <t>CIQ("XLNX","IQ_REVENUE_LOW_GUIDANCE","FY2017")</t>
  </si>
  <si>
    <t>CIQ("XLNX","IQ_REVENUE_LOW_GUIDANCE","FY2018")</t>
  </si>
  <si>
    <t>CIQ("XLNX","IQ_REVENUE_LOW_GUIDANCE","FY2019")</t>
  </si>
  <si>
    <t>EBITDA (point)</t>
  </si>
  <si>
    <t>IQ_EBITDA_GUIDANCE</t>
  </si>
  <si>
    <t>CIQ("XLNX","IQ_EBITDA_GUIDANCE","FY2014")</t>
  </si>
  <si>
    <t>CIQ("XLNX","IQ_EBITDA_GUIDANCE","FY2015")</t>
  </si>
  <si>
    <t>CIQ("XLNX","IQ_EBITDA_GUIDANCE","FY2016")</t>
  </si>
  <si>
    <t>CIQ("XLNX","IQ_EBITDA_GUIDANCE","FY2017")</t>
  </si>
  <si>
    <t>CIQ("XLNX","IQ_EBITDA_GUIDANCE","FY2018")</t>
  </si>
  <si>
    <t>CIQ("XLNX","IQ_EBITDA_GUIDANCE","FY2019")</t>
  </si>
  <si>
    <t>XOM</t>
  </si>
  <si>
    <t>CIQ("XOM","IQ_EPS_EXCL_GUIDANCE","FY2014")</t>
  </si>
  <si>
    <t>CIQ("XOM","IQ_EPS_EXCL_GUIDANCE","FY2015")</t>
  </si>
  <si>
    <t>CIQ("XOM","IQ_EPS_EXCL_GUIDANCE","FY2016")</t>
  </si>
  <si>
    <t>CIQ("XOM","IQ_EPS_EXCL_GUIDANCE","FY2017")</t>
  </si>
  <si>
    <t>CIQ("XOM","IQ_EPS_EXCL_GUIDANCE","FY2018")</t>
  </si>
  <si>
    <t>CIQ("XOM","IQ_EPS_EXCL_GUIDANCE","FY2019")</t>
  </si>
  <si>
    <t>CIQ("XOM","IQ_EPS_EXCL_HIGH_GUIDANCE","FY2014")</t>
  </si>
  <si>
    <t>CIQ("XOM","IQ_EPS_EXCL_HIGH_GUIDANCE","FY2015")</t>
  </si>
  <si>
    <t>CIQ("XOM","IQ_EPS_EXCL_HIGH_GUIDANCE","FY2016")</t>
  </si>
  <si>
    <t>CIQ("XOM","IQ_EPS_EXCL_HIGH_GUIDANCE","FY2017")</t>
  </si>
  <si>
    <t>CIQ("XOM","IQ_EPS_EXCL_HIGH_GUIDANCE","FY2018")</t>
  </si>
  <si>
    <t>CIQ("XOM","IQ_EPS_EXCL_HIGH_GUIDANCE","FY2019")</t>
  </si>
  <si>
    <t>CIQ("XOM","IQ_EPS_EXCL_LOW_GUIDANCE","FY2014")</t>
  </si>
  <si>
    <t>CIQ("XOM","IQ_EPS_EXCL_LOW_GUIDANCE","FY2015")</t>
  </si>
  <si>
    <t>CIQ("XOM","IQ_EPS_EXCL_LOW_GUIDANCE","FY2016")</t>
  </si>
  <si>
    <t>CIQ("XOM","IQ_EPS_EXCL_LOW_GUIDANCE","FY2017")</t>
  </si>
  <si>
    <t>CIQ("XOM","IQ_EPS_EXCL_LOW_GUIDANCE","FY2018")</t>
  </si>
  <si>
    <t>CIQ("XOM","IQ_EPS_EXCL_LOW_GUIDANCE","FY2019")</t>
  </si>
  <si>
    <t>CIQ("XOM","IQ_REVENUE_GUIDANCE","FY2014")</t>
  </si>
  <si>
    <t>CIQ("XOM","IQ_REVENUE_GUIDANCE","FY2015")</t>
  </si>
  <si>
    <t>CIQ("XOM","IQ_REVENUE_GUIDANCE","FY2016")</t>
  </si>
  <si>
    <t>CIQ("XOM","IQ_REVENUE_GUIDANCE","FY2017")</t>
  </si>
  <si>
    <t>CIQ("XOM","IQ_REVENUE_GUIDANCE","FY2018")</t>
  </si>
  <si>
    <t>CIQ("XOM","IQ_REVENUE_GUIDANCE","FY2019")</t>
  </si>
  <si>
    <t>CIQ("XOM","IQ_REVENUE_HIGH_GUIDANCE","FY2014")</t>
  </si>
  <si>
    <t>CIQ("XOM","IQ_REVENUE_HIGH_GUIDANCE","FY2015")</t>
  </si>
  <si>
    <t>CIQ("XOM","IQ_REVENUE_HIGH_GUIDANCE","FY2016")</t>
  </si>
  <si>
    <t>CIQ("XOM","IQ_REVENUE_HIGH_GUIDANCE","FY2017")</t>
  </si>
  <si>
    <t>CIQ("XOM","IQ_REVENUE_HIGH_GUIDANCE","FY2018")</t>
  </si>
  <si>
    <t>CIQ("XOM","IQ_REVENUE_HIGH_GUIDANCE","FY2019")</t>
  </si>
  <si>
    <t>CIQ("XOM","IQ_REVENUE_LOW_GUIDANCE","FY2014")</t>
  </si>
  <si>
    <t>CIQ("XOM","IQ_REVENUE_LOW_GUIDANCE","FY2015")</t>
  </si>
  <si>
    <t>CIQ("XOM","IQ_REVENUE_LOW_GUIDANCE","FY2016")</t>
  </si>
  <si>
    <t>CIQ("XOM","IQ_REVENUE_LOW_GUIDANCE","FY2017")</t>
  </si>
  <si>
    <t>CIQ("XOM","IQ_REVENUE_LOW_GUIDANCE","FY2018")</t>
  </si>
  <si>
    <t>CIQ("XOM","IQ_REVENUE_LOW_GUIDANCE","FY2019")</t>
  </si>
  <si>
    <t>CIQ("XOM","IQ_EBITDA_GUIDANCE","FY2014")</t>
  </si>
  <si>
    <t>CIQ("XOM","IQ_EBITDA_GUIDANCE","FY2015")</t>
  </si>
  <si>
    <t>CIQ("XOM","IQ_EBITDA_GUIDANCE","FY2016")</t>
  </si>
  <si>
    <t>CIQ("XOM","IQ_EBITDA_GUIDANCE","FY2017")</t>
  </si>
  <si>
    <t>CIQ("XOM","IQ_EBITDA_GUIDANCE","FY2018")</t>
  </si>
  <si>
    <t>CIQ("XOM","IQ_EBITDA_GUIDANCE","FY2019")</t>
  </si>
  <si>
    <t>XOXO</t>
  </si>
  <si>
    <t>CIQ("XOXO","IQ_EPS_EXCL_GUIDANCE","FY2014")</t>
  </si>
  <si>
    <t>CIQ("XOXO","IQ_EPS_EXCL_GUIDANCE","FY2015")</t>
  </si>
  <si>
    <t>CIQ("XOXO","IQ_EPS_EXCL_GUIDANCE","FY2016")</t>
  </si>
  <si>
    <t>CIQ("XOXO","IQ_EPS_EXCL_GUIDANCE","FY2017")</t>
  </si>
  <si>
    <t>CIQ("XOXO","IQ_EPS_EXCL_GUIDANCE","FY2018")</t>
  </si>
  <si>
    <t>CIQ("XOXO","IQ_EPS_EXCL_GUIDANCE","FY2019")</t>
  </si>
  <si>
    <t>CIQ("XOXO","IQ_EPS_EXCL_HIGH_GUIDANCE","FY2014")</t>
  </si>
  <si>
    <t>CIQ("XOXO","IQ_EPS_EXCL_HIGH_GUIDANCE","FY2015")</t>
  </si>
  <si>
    <t>CIQ("XOXO","IQ_EPS_EXCL_HIGH_GUIDANCE","FY2016")</t>
  </si>
  <si>
    <t>CIQ("XOXO","IQ_EPS_EXCL_HIGH_GUIDANCE","FY2017")</t>
  </si>
  <si>
    <t>CIQ("XOXO","IQ_EPS_EXCL_HIGH_GUIDANCE","FY2018")</t>
  </si>
  <si>
    <t>CIQ("XOXO","IQ_EPS_EXCL_HIGH_GUIDANCE","FY2019")</t>
  </si>
  <si>
    <t>CIQ("XOXO","IQ_EPS_EXCL_LOW_GUIDANCE","FY2014")</t>
  </si>
  <si>
    <t>CIQ("XOXO","IQ_EPS_EXCL_LOW_GUIDANCE","FY2015")</t>
  </si>
  <si>
    <t>CIQ("XOXO","IQ_EPS_EXCL_LOW_GUIDANCE","FY2016")</t>
  </si>
  <si>
    <t>CIQ("XOXO","IQ_EPS_EXCL_LOW_GUIDANCE","FY2017")</t>
  </si>
  <si>
    <t>CIQ("XOXO","IQ_EPS_EXCL_LOW_GUIDANCE","FY2018")</t>
  </si>
  <si>
    <t>CIQ("XOXO","IQ_EPS_EXCL_LOW_GUIDANCE","FY2019")</t>
  </si>
  <si>
    <t>CIQ("XOXO","IQ_REVENUE_GUIDANCE","FY2014")</t>
  </si>
  <si>
    <t>CIQ("XOXO","IQ_REVENUE_GUIDANCE","FY2015")</t>
  </si>
  <si>
    <t>CIQ("XOXO","IQ_REVENUE_GUIDANCE","FY2016")</t>
  </si>
  <si>
    <t>CIQ("XOXO","IQ_REVENUE_GUIDANCE","FY2017")</t>
  </si>
  <si>
    <t>CIQ("XOXO","IQ_REVENUE_GUIDANCE","FY2018")</t>
  </si>
  <si>
    <t>CIQ("XOXO","IQ_REVENUE_GUIDANCE","FY2019")</t>
  </si>
  <si>
    <t>CIQ("XOXO","IQ_REVENUE_HIGH_GUIDANCE","FY2014")</t>
  </si>
  <si>
    <t>CIQ("XOXO","IQ_REVENUE_HIGH_GUIDANCE","FY2015")</t>
  </si>
  <si>
    <t>CIQ("XOXO","IQ_REVENUE_HIGH_GUIDANCE","FY2016")</t>
  </si>
  <si>
    <t>CIQ("XOXO","IQ_REVENUE_HIGH_GUIDANCE","FY2017")</t>
  </si>
  <si>
    <t>CIQ("XOXO","IQ_REVENUE_HIGH_GUIDANCE","FY2018")</t>
  </si>
  <si>
    <t>CIQ("XOXO","IQ_REVENUE_HIGH_GUIDANCE","FY2019")</t>
  </si>
  <si>
    <t>CIQ("XOXO","IQ_REVENUE_LOW_GUIDANCE","FY2014")</t>
  </si>
  <si>
    <t>CIQ("XOXO","IQ_REVENUE_LOW_GUIDANCE","FY2015")</t>
  </si>
  <si>
    <t>CIQ("XOXO","IQ_REVENUE_LOW_GUIDANCE","FY2016")</t>
  </si>
  <si>
    <t>CIQ("XOXO","IQ_REVENUE_LOW_GUIDANCE","FY2017")</t>
  </si>
  <si>
    <t>CIQ("XOXO","IQ_REVENUE_LOW_GUIDANCE","FY2018")</t>
  </si>
  <si>
    <t>CIQ("XOXO","IQ_REVENUE_LOW_GUIDANCE","FY2019")</t>
  </si>
  <si>
    <t>CIQ("XOXO","IQ_EBITDA_GUIDANCE","FY2014")</t>
  </si>
  <si>
    <t>CIQ("XOXO","IQ_EBITDA_GUIDANCE","FY2015")</t>
  </si>
  <si>
    <t>CIQ("XOXO","IQ_EBITDA_GUIDANCE","FY2016")</t>
  </si>
  <si>
    <t>CIQ("XOXO","IQ_EBITDA_GUIDANCE","FY2017")</t>
  </si>
  <si>
    <t>CIQ("XOXO","IQ_EBITDA_GUIDANCE","FY2018")</t>
  </si>
  <si>
    <t>CIQ("XOXO","IQ_EBITDA_GUIDANCE","FY2019")</t>
  </si>
  <si>
    <t>XRAY</t>
  </si>
  <si>
    <t>CIQ("XRAY","IQ_EPS_EXCL_GUIDANCE","FY2014")</t>
  </si>
  <si>
    <t>CIQ("XRAY","IQ_EPS_EXCL_GUIDANCE","FY2015")</t>
  </si>
  <si>
    <t>CIQ("XRAY","IQ_EPS_EXCL_GUIDANCE","FY2016")</t>
  </si>
  <si>
    <t>CIQ("XRAY","IQ_EPS_EXCL_GUIDANCE","FY2017")</t>
  </si>
  <si>
    <t>CIQ("XRAY","IQ_EPS_EXCL_GUIDANCE","FY2018")</t>
  </si>
  <si>
    <t>CIQ("XRAY","IQ_EPS_EXCL_GUIDANCE","FY2019")</t>
  </si>
  <si>
    <t>CIQ("XRAY","IQ_EPS_EXCL_HIGH_GUIDANCE","FY2014")</t>
  </si>
  <si>
    <t>CIQ("XRAY","IQ_EPS_EXCL_HIGH_GUIDANCE","FY2015")</t>
  </si>
  <si>
    <t>CIQ("XRAY","IQ_EPS_EXCL_HIGH_GUIDANCE","FY2016")</t>
  </si>
  <si>
    <t>CIQ("XRAY","IQ_EPS_EXCL_HIGH_GUIDANCE","FY2017")</t>
  </si>
  <si>
    <t>CIQ("XRAY","IQ_EPS_EXCL_HIGH_GUIDANCE","FY2018")</t>
  </si>
  <si>
    <t>CIQ("XRAY","IQ_EPS_EXCL_HIGH_GUIDANCE","FY2019")</t>
  </si>
  <si>
    <t>CIQ("XRAY","IQ_EPS_EXCL_LOW_GUIDANCE","FY2014")</t>
  </si>
  <si>
    <t>CIQ("XRAY","IQ_EPS_EXCL_LOW_GUIDANCE","FY2015")</t>
  </si>
  <si>
    <t>CIQ("XRAY","IQ_EPS_EXCL_LOW_GUIDANCE","FY2016")</t>
  </si>
  <si>
    <t>CIQ("XRAY","IQ_EPS_EXCL_LOW_GUIDANCE","FY2017")</t>
  </si>
  <si>
    <t>CIQ("XRAY","IQ_EPS_EXCL_LOW_GUIDANCE","FY2018")</t>
  </si>
  <si>
    <t>CIQ("XRAY","IQ_EPS_EXCL_LOW_GUIDANCE","FY2019")</t>
  </si>
  <si>
    <t>CIQ("XRAY","IQ_REVENUE_GUIDANCE","FY2014")</t>
  </si>
  <si>
    <t>CIQ("XRAY","IQ_REVENUE_GUIDANCE","FY2015")</t>
  </si>
  <si>
    <t>CIQ("XRAY","IQ_REVENUE_GUIDANCE","FY2016")</t>
  </si>
  <si>
    <t>CIQ("XRAY","IQ_REVENUE_GUIDANCE","FY2017")</t>
  </si>
  <si>
    <t>CIQ("XRAY","IQ_REVENUE_GUIDANCE","FY2018")</t>
  </si>
  <si>
    <t>CIQ("XRAY","IQ_REVENUE_GUIDANCE","FY2019")</t>
  </si>
  <si>
    <t>CIQ("XRAY","IQ_REVENUE_HIGH_GUIDANCE","FY2014")</t>
  </si>
  <si>
    <t>CIQ("XRAY","IQ_REVENUE_HIGH_GUIDANCE","FY2015")</t>
  </si>
  <si>
    <t>CIQ("XRAY","IQ_REVENUE_HIGH_GUIDANCE","FY2016")</t>
  </si>
  <si>
    <t>CIQ("XRAY","IQ_REVENUE_HIGH_GUIDANCE","FY2017")</t>
  </si>
  <si>
    <t>CIQ("XRAY","IQ_REVENUE_HIGH_GUIDANCE","FY2018")</t>
  </si>
  <si>
    <t>CIQ("XRAY","IQ_REVENUE_HIGH_GUIDANCE","FY2019")</t>
  </si>
  <si>
    <t>CIQ("XRAY","IQ_REVENUE_LOW_GUIDANCE","FY2014")</t>
  </si>
  <si>
    <t>CIQ("XRAY","IQ_REVENUE_LOW_GUIDANCE","FY2015")</t>
  </si>
  <si>
    <t>CIQ("XRAY","IQ_REVENUE_LOW_GUIDANCE","FY2016")</t>
  </si>
  <si>
    <t>CIQ("XRAY","IQ_REVENUE_LOW_GUIDANCE","FY2017")</t>
  </si>
  <si>
    <t>CIQ("XRAY","IQ_REVENUE_LOW_GUIDANCE","FY2018")</t>
  </si>
  <si>
    <t>CIQ("XRAY","IQ_REVENUE_LOW_GUIDANCE","FY2019")</t>
  </si>
  <si>
    <t>CIQ("XRAY","IQ_EBITDA_GUIDANCE","FY2014")</t>
  </si>
  <si>
    <t>CIQ("XRAY","IQ_EBITDA_GUIDANCE","FY2015")</t>
  </si>
  <si>
    <t>CIQ("XRAY","IQ_EBITDA_GUIDANCE","FY2016")</t>
  </si>
  <si>
    <t>CIQ("XRAY","IQ_EBITDA_GUIDANCE","FY2017")</t>
  </si>
  <si>
    <t>CIQ("XRAY","IQ_EBITDA_GUIDANCE","FY2018")</t>
  </si>
  <si>
    <t>CIQ("XRAY","IQ_EBITDA_GUIDANCE","FY2019")</t>
  </si>
  <si>
    <t>XRX</t>
  </si>
  <si>
    <t>CIQ("XRX","IQ_EPS_EXCL_GUIDANCE","FY2014")</t>
  </si>
  <si>
    <t>CIQ("XRX","IQ_EPS_EXCL_GUIDANCE","FY2015")</t>
  </si>
  <si>
    <t>CIQ("XRX","IQ_EPS_EXCL_GUIDANCE","FY2016")</t>
  </si>
  <si>
    <t>CIQ("XRX","IQ_EPS_EXCL_GUIDANCE","FY2017")</t>
  </si>
  <si>
    <t>CIQ("XRX","IQ_EPS_EXCL_GUIDANCE","FY2018")</t>
  </si>
  <si>
    <t>CIQ("XRX","IQ_EPS_EXCL_GUIDANCE","FY2019")</t>
  </si>
  <si>
    <t>CIQ("XRX","IQ_EPS_EXCL_HIGH_GUIDANCE","FY2014")</t>
  </si>
  <si>
    <t>CIQ("XRX","IQ_EPS_EXCL_HIGH_GUIDANCE","FY2015")</t>
  </si>
  <si>
    <t>CIQ("XRX","IQ_EPS_EXCL_HIGH_GUIDANCE","FY2016")</t>
  </si>
  <si>
    <t>CIQ("XRX","IQ_EPS_EXCL_HIGH_GUIDANCE","FY2017")</t>
  </si>
  <si>
    <t>CIQ("XRX","IQ_EPS_EXCL_HIGH_GUIDANCE","FY2018")</t>
  </si>
  <si>
    <t>CIQ("XRX","IQ_EPS_EXCL_HIGH_GUIDANCE","FY2019")</t>
  </si>
  <si>
    <t>CIQ("XRX","IQ_EPS_EXCL_LOW_GUIDANCE","FY2014")</t>
  </si>
  <si>
    <t>CIQ("XRX","IQ_EPS_EXCL_LOW_GUIDANCE","FY2015")</t>
  </si>
  <si>
    <t>CIQ("XRX","IQ_EPS_EXCL_LOW_GUIDANCE","FY2016")</t>
  </si>
  <si>
    <t>CIQ("XRX","IQ_EPS_EXCL_LOW_GUIDANCE","FY2017")</t>
  </si>
  <si>
    <t>CIQ("XRX","IQ_EPS_EXCL_LOW_GUIDANCE","FY2018")</t>
  </si>
  <si>
    <t>CIQ("XRX","IQ_EPS_EXCL_LOW_GUIDANCE","FY2019")</t>
  </si>
  <si>
    <t>CIQ("XRX","IQ_REVENUE_GUIDANCE","FY2014")</t>
  </si>
  <si>
    <t>CIQ("XRX","IQ_REVENUE_GUIDANCE","FY2015")</t>
  </si>
  <si>
    <t>CIQ("XRX","IQ_REVENUE_GUIDANCE","FY2016")</t>
  </si>
  <si>
    <t>CIQ("XRX","IQ_REVENUE_GUIDANCE","FY2017")</t>
  </si>
  <si>
    <t>CIQ("XRX","IQ_REVENUE_GUIDANCE","FY2018")</t>
  </si>
  <si>
    <t>CIQ("XRX","IQ_REVENUE_GUIDANCE","FY2019")</t>
  </si>
  <si>
    <t>CIQ("XRX","IQ_REVENUE_HIGH_GUIDANCE","FY2014")</t>
  </si>
  <si>
    <t>CIQ("XRX","IQ_REVENUE_HIGH_GUIDANCE","FY2015")</t>
  </si>
  <si>
    <t>CIQ("XRX","IQ_REVENUE_HIGH_GUIDANCE","FY2016")</t>
  </si>
  <si>
    <t>CIQ("XRX","IQ_REVENUE_HIGH_GUIDANCE","FY2017")</t>
  </si>
  <si>
    <t>CIQ("XRX","IQ_REVENUE_HIGH_GUIDANCE","FY2018")</t>
  </si>
  <si>
    <t>CIQ("XRX","IQ_REVENUE_HIGH_GUIDANCE","FY2019")</t>
  </si>
  <si>
    <t>CIQ("XRX","IQ_REVENUE_LOW_GUIDANCE","FY2014")</t>
  </si>
  <si>
    <t>CIQ("XRX","IQ_REVENUE_LOW_GUIDANCE","FY2015")</t>
  </si>
  <si>
    <t>CIQ("XRX","IQ_REVENUE_LOW_GUIDANCE","FY2016")</t>
  </si>
  <si>
    <t>CIQ("XRX","IQ_REVENUE_LOW_GUIDANCE","FY2017")</t>
  </si>
  <si>
    <t>CIQ("XRX","IQ_REVENUE_LOW_GUIDANCE","FY2018")</t>
  </si>
  <si>
    <t>CIQ("XRX","IQ_REVENUE_LOW_GUIDANCE","FY2019")</t>
  </si>
  <si>
    <t>CIQ("XRX","IQ_EBITDA_GUIDANCE","FY2014")</t>
  </si>
  <si>
    <t>CIQ("XRX","IQ_EBITDA_GUIDANCE","FY2015")</t>
  </si>
  <si>
    <t>CIQ("XRX","IQ_EBITDA_GUIDANCE","FY2016")</t>
  </si>
  <si>
    <t>CIQ("XRX","IQ_EBITDA_GUIDANCE","FY2017")</t>
  </si>
  <si>
    <t>CIQ("XRX","IQ_EBITDA_GUIDANCE","FY2018")</t>
  </si>
  <si>
    <t>CIQ("XRX","IQ_EBITDA_GUIDANCE","FY2019")</t>
  </si>
  <si>
    <t>XYL</t>
  </si>
  <si>
    <t>CIQ("XYL","IQ_EPS_EXCL_GUIDANCE","FY2014")</t>
  </si>
  <si>
    <t>CIQ("XYL","IQ_EPS_EXCL_GUIDANCE","FY2015")</t>
  </si>
  <si>
    <t>CIQ("XYL","IQ_EPS_EXCL_GUIDANCE","FY2016")</t>
  </si>
  <si>
    <t>CIQ("XYL","IQ_EPS_EXCL_GUIDANCE","FY2017")</t>
  </si>
  <si>
    <t>CIQ("XYL","IQ_EPS_EXCL_GUIDANCE","FY2018")</t>
  </si>
  <si>
    <t>CIQ("XYL","IQ_EPS_EXCL_GUIDANCE","FY2019")</t>
  </si>
  <si>
    <t>CIQ("XYL","IQ_EPS_EXCL_HIGH_GUIDANCE","FY2014")</t>
  </si>
  <si>
    <t>CIQ("XYL","IQ_EPS_EXCL_HIGH_GUIDANCE","FY2015")</t>
  </si>
  <si>
    <t>CIQ("XYL","IQ_EPS_EXCL_HIGH_GUIDANCE","FY2016")</t>
  </si>
  <si>
    <t>CIQ("XYL","IQ_EPS_EXCL_HIGH_GUIDANCE","FY2017")</t>
  </si>
  <si>
    <t>CIQ("XYL","IQ_EPS_EXCL_HIGH_GUIDANCE","FY2018")</t>
  </si>
  <si>
    <t>CIQ("XYL","IQ_EPS_EXCL_HIGH_GUIDANCE","FY2019")</t>
  </si>
  <si>
    <t>CIQ("XYL","IQ_EPS_EXCL_LOW_GUIDANCE","FY2014")</t>
  </si>
  <si>
    <t>CIQ("XYL","IQ_EPS_EXCL_LOW_GUIDANCE","FY2015")</t>
  </si>
  <si>
    <t>CIQ("XYL","IQ_EPS_EXCL_LOW_GUIDANCE","FY2016")</t>
  </si>
  <si>
    <t>CIQ("XYL","IQ_EPS_EXCL_LOW_GUIDANCE","FY2017")</t>
  </si>
  <si>
    <t>CIQ("XYL","IQ_EPS_EXCL_LOW_GUIDANCE","FY2018")</t>
  </si>
  <si>
    <t>CIQ("XYL","IQ_EPS_EXCL_LOW_GUIDANCE","FY2019")</t>
  </si>
  <si>
    <t>CIQ("XYL","IQ_REVENUE_GUIDANCE","FY2014")</t>
  </si>
  <si>
    <t>CIQ("XYL","IQ_REVENUE_GUIDANCE","FY2015")</t>
  </si>
  <si>
    <t>CIQ("XYL","IQ_REVENUE_GUIDANCE","FY2016")</t>
  </si>
  <si>
    <t>CIQ("XYL","IQ_REVENUE_GUIDANCE","FY2017")</t>
  </si>
  <si>
    <t>CIQ("XYL","IQ_REVENUE_GUIDANCE","FY2018")</t>
  </si>
  <si>
    <t>CIQ("XYL","IQ_REVENUE_GUIDANCE","FY2019")</t>
  </si>
  <si>
    <t>CIQ("XYL","IQ_REVENUE_HIGH_GUIDANCE","FY2014")</t>
  </si>
  <si>
    <t>CIQ("XYL","IQ_REVENUE_HIGH_GUIDANCE","FY2015")</t>
  </si>
  <si>
    <t>CIQ("XYL","IQ_REVENUE_HIGH_GUIDANCE","FY2016")</t>
  </si>
  <si>
    <t>CIQ("XYL","IQ_REVENUE_HIGH_GUIDANCE","FY2017")</t>
  </si>
  <si>
    <t>CIQ("XYL","IQ_REVENUE_HIGH_GUIDANCE","FY2018")</t>
  </si>
  <si>
    <t>CIQ("XYL","IQ_REVENUE_HIGH_GUIDANCE","FY2019")</t>
  </si>
  <si>
    <t>CIQ("XYL","IQ_REVENUE_LOW_GUIDANCE","FY2014")</t>
  </si>
  <si>
    <t>CIQ("XYL","IQ_REVENUE_LOW_GUIDANCE","FY2015")</t>
  </si>
  <si>
    <t>CIQ("XYL","IQ_REVENUE_LOW_GUIDANCE","FY2016")</t>
  </si>
  <si>
    <t>CIQ("XYL","IQ_REVENUE_LOW_GUIDANCE","FY2017")</t>
  </si>
  <si>
    <t>CIQ("XYL","IQ_REVENUE_LOW_GUIDANCE","FY2018")</t>
  </si>
  <si>
    <t>CIQ("XYL","IQ_REVENUE_LOW_GUIDANCE","FY2019")</t>
  </si>
  <si>
    <t>CIQ("XYL","IQ_EBITDA_GUIDANCE","FY2014")</t>
  </si>
  <si>
    <t>CIQ("XYL","IQ_EBITDA_GUIDANCE","FY2015")</t>
  </si>
  <si>
    <t>CIQ("XYL","IQ_EBITDA_GUIDANCE","FY2016")</t>
  </si>
  <si>
    <t>CIQ("XYL","IQ_EBITDA_GUIDANCE","FY2017")</t>
  </si>
  <si>
    <t>CIQ("XYL","IQ_EBITDA_GUIDANCE","FY2018")</t>
  </si>
  <si>
    <t>CIQ("XYL","IQ_EBITDA_GUIDANCE","FY2019")</t>
  </si>
  <si>
    <t>YUM</t>
  </si>
  <si>
    <t>CIQ("YUM","IQ_EPS_EXCL_GUIDANCE","FY2014")</t>
  </si>
  <si>
    <t>CIQ("YUM","IQ_EPS_EXCL_GUIDANCE","FY2015")</t>
  </si>
  <si>
    <t>CIQ("YUM","IQ_EPS_EXCL_GUIDANCE","FY2016")</t>
  </si>
  <si>
    <t>CIQ("YUM","IQ_EPS_EXCL_GUIDANCE","FY2017")</t>
  </si>
  <si>
    <t>CIQ("YUM","IQ_EPS_EXCL_GUIDANCE","FY2018")</t>
  </si>
  <si>
    <t>CIQ("YUM","IQ_EPS_EXCL_GUIDANCE","FY2019")</t>
  </si>
  <si>
    <t>CIQ("YUM","IQ_EPS_EXCL_HIGH_GUIDANCE","FY2014")</t>
  </si>
  <si>
    <t>CIQ("YUM","IQ_EPS_EXCL_HIGH_GUIDANCE","FY2015")</t>
  </si>
  <si>
    <t>CIQ("YUM","IQ_EPS_EXCL_HIGH_GUIDANCE","FY2016")</t>
  </si>
  <si>
    <t>CIQ("YUM","IQ_EPS_EXCL_HIGH_GUIDANCE","FY2017")</t>
  </si>
  <si>
    <t>CIQ("YUM","IQ_EPS_EXCL_HIGH_GUIDANCE","FY2018")</t>
  </si>
  <si>
    <t>CIQ("YUM","IQ_EPS_EXCL_HIGH_GUIDANCE","FY2019")</t>
  </si>
  <si>
    <t>CIQ("YUM","IQ_EPS_EXCL_LOW_GUIDANCE","FY2014")</t>
  </si>
  <si>
    <t>CIQ("YUM","IQ_EPS_EXCL_LOW_GUIDANCE","FY2015")</t>
  </si>
  <si>
    <t>CIQ("YUM","IQ_EPS_EXCL_LOW_GUIDANCE","FY2016")</t>
  </si>
  <si>
    <t>CIQ("YUM","IQ_EPS_EXCL_LOW_GUIDANCE","FY2017")</t>
  </si>
  <si>
    <t>CIQ("YUM","IQ_EPS_EXCL_LOW_GUIDANCE","FY2018")</t>
  </si>
  <si>
    <t>CIQ("YUM","IQ_EPS_EXCL_LOW_GUIDANCE","FY2019")</t>
  </si>
  <si>
    <t>CIQ("YUM","IQ_REVENUE_GUIDANCE","FY2014")</t>
  </si>
  <si>
    <t>CIQ("YUM","IQ_REVENUE_GUIDANCE","FY2015")</t>
  </si>
  <si>
    <t>CIQ("YUM","IQ_REVENUE_GUIDANCE","FY2016")</t>
  </si>
  <si>
    <t>CIQ("YUM","IQ_REVENUE_GUIDANCE","FY2017")</t>
  </si>
  <si>
    <t>CIQ("YUM","IQ_REVENUE_GUIDANCE","FY2018")</t>
  </si>
  <si>
    <t>CIQ("YUM","IQ_REVENUE_GUIDANCE","FY2019")</t>
  </si>
  <si>
    <t>CIQ("YUM","IQ_REVENUE_HIGH_GUIDANCE","FY2014")</t>
  </si>
  <si>
    <t>CIQ("YUM","IQ_REVENUE_HIGH_GUIDANCE","FY2015")</t>
  </si>
  <si>
    <t>CIQ("YUM","IQ_REVENUE_HIGH_GUIDANCE","FY2016")</t>
  </si>
  <si>
    <t>CIQ("YUM","IQ_REVENUE_HIGH_GUIDANCE","FY2017")</t>
  </si>
  <si>
    <t>CIQ("YUM","IQ_REVENUE_HIGH_GUIDANCE","FY2018")</t>
  </si>
  <si>
    <t>CIQ("YUM","IQ_REVENUE_HIGH_GUIDANCE","FY2019")</t>
  </si>
  <si>
    <t>CIQ("YUM","IQ_REVENUE_LOW_GUIDANCE","FY2014")</t>
  </si>
  <si>
    <t>CIQ("YUM","IQ_REVENUE_LOW_GUIDANCE","FY2015")</t>
  </si>
  <si>
    <t>CIQ("YUM","IQ_REVENUE_LOW_GUIDANCE","FY2016")</t>
  </si>
  <si>
    <t>CIQ("YUM","IQ_REVENUE_LOW_GUIDANCE","FY2017")</t>
  </si>
  <si>
    <t>CIQ("YUM","IQ_REVENUE_LOW_GUIDANCE","FY2018")</t>
  </si>
  <si>
    <t>CIQ("YUM","IQ_REVENUE_LOW_GUIDANCE","FY2019")</t>
  </si>
  <si>
    <t>CIQ("YUM","IQ_EBITDA_GUIDANCE","FY2014")</t>
  </si>
  <si>
    <t>CIQ("YUM","IQ_EBITDA_GUIDANCE","FY2015")</t>
  </si>
  <si>
    <t>CIQ("YUM","IQ_EBITDA_GUIDANCE","FY2016")</t>
  </si>
  <si>
    <t>CIQ("YUM","IQ_EBITDA_GUIDANCE","FY2017")</t>
  </si>
  <si>
    <t>CIQ("YUM","IQ_EBITDA_GUIDANCE","FY2018")</t>
  </si>
  <si>
    <t>CIQ("YUM","IQ_EBITDA_GUIDANCE","FY2019")</t>
  </si>
  <si>
    <t>ZBH</t>
  </si>
  <si>
    <t>CIQ("ZBH","IQ_EPS_EXCL_GUIDANCE","FY2014")</t>
  </si>
  <si>
    <t>CIQ("ZBH","IQ_EPS_EXCL_GUIDANCE","FY2015")</t>
  </si>
  <si>
    <t>CIQ("ZBH","IQ_EPS_EXCL_GUIDANCE","FY2016")</t>
  </si>
  <si>
    <t>CIQ("ZBH","IQ_EPS_EXCL_GUIDANCE","FY2017")</t>
  </si>
  <si>
    <t>CIQ("ZBH","IQ_EPS_EXCL_GUIDANCE","FY2018")</t>
  </si>
  <si>
    <t>CIQ("ZBH","IQ_EPS_EXCL_GUIDANCE","FY2019")</t>
  </si>
  <si>
    <t>CIQ("ZBH","IQ_EPS_EXCL_HIGH_GUIDANCE","FY2014")</t>
  </si>
  <si>
    <t>CIQ("ZBH","IQ_EPS_EXCL_HIGH_GUIDANCE","FY2015")</t>
  </si>
  <si>
    <t>CIQ("ZBH","IQ_EPS_EXCL_HIGH_GUIDANCE","FY2016")</t>
  </si>
  <si>
    <t>CIQ("ZBH","IQ_EPS_EXCL_HIGH_GUIDANCE","FY2017")</t>
  </si>
  <si>
    <t>CIQ("ZBH","IQ_EPS_EXCL_HIGH_GUIDANCE","FY2018")</t>
  </si>
  <si>
    <t>CIQ("ZBH","IQ_EPS_EXCL_HIGH_GUIDANCE","FY2019")</t>
  </si>
  <si>
    <t>CIQ("ZBH","IQ_EPS_EXCL_LOW_GUIDANCE","FY2014")</t>
  </si>
  <si>
    <t>CIQ("ZBH","IQ_EPS_EXCL_LOW_GUIDANCE","FY2015")</t>
  </si>
  <si>
    <t>CIQ("ZBH","IQ_EPS_EXCL_LOW_GUIDANCE","FY2016")</t>
  </si>
  <si>
    <t>CIQ("ZBH","IQ_EPS_EXCL_LOW_GUIDANCE","FY2017")</t>
  </si>
  <si>
    <t>CIQ("ZBH","IQ_EPS_EXCL_LOW_GUIDANCE","FY2018")</t>
  </si>
  <si>
    <t>CIQ("ZBH","IQ_EPS_EXCL_LOW_GUIDANCE","FY2019")</t>
  </si>
  <si>
    <t>CIQ("ZBH","IQ_REVENUE_GUIDANCE","FY2014")</t>
  </si>
  <si>
    <t>CIQ("ZBH","IQ_REVENUE_GUIDANCE","FY2015")</t>
  </si>
  <si>
    <t>CIQ("ZBH","IQ_REVENUE_GUIDANCE","FY2016")</t>
  </si>
  <si>
    <t>CIQ("ZBH","IQ_REVENUE_GUIDANCE","FY2017")</t>
  </si>
  <si>
    <t>CIQ("ZBH","IQ_REVENUE_GUIDANCE","FY2018")</t>
  </si>
  <si>
    <t>CIQ("ZBH","IQ_REVENUE_GUIDANCE","FY2019")</t>
  </si>
  <si>
    <t>CIQ("ZBH","IQ_REVENUE_HIGH_GUIDANCE","FY2014")</t>
  </si>
  <si>
    <t>CIQ("ZBH","IQ_REVENUE_HIGH_GUIDANCE","FY2015")</t>
  </si>
  <si>
    <t>CIQ("ZBH","IQ_REVENUE_HIGH_GUIDANCE","FY2016")</t>
  </si>
  <si>
    <t>CIQ("ZBH","IQ_REVENUE_HIGH_GUIDANCE","FY2017")</t>
  </si>
  <si>
    <t>CIQ("ZBH","IQ_REVENUE_HIGH_GUIDANCE","FY2018")</t>
  </si>
  <si>
    <t>CIQ("ZBH","IQ_REVENUE_HIGH_GUIDANCE","FY2019")</t>
  </si>
  <si>
    <t>CIQ("ZBH","IQ_REVENUE_LOW_GUIDANCE","FY2014")</t>
  </si>
  <si>
    <t>CIQ("ZBH","IQ_REVENUE_LOW_GUIDANCE","FY2015")</t>
  </si>
  <si>
    <t>CIQ("ZBH","IQ_REVENUE_LOW_GUIDANCE","FY2016")</t>
  </si>
  <si>
    <t>CIQ("ZBH","IQ_REVENUE_LOW_GUIDANCE","FY2017")</t>
  </si>
  <si>
    <t>CIQ("ZBH","IQ_REVENUE_LOW_GUIDANCE","FY2018")</t>
  </si>
  <si>
    <t>CIQ("ZBH","IQ_REVENUE_LOW_GUIDANCE","FY2019")</t>
  </si>
  <si>
    <t>CIQ("ZBH","IQ_EBITDA_GUIDANCE","FY2014")</t>
  </si>
  <si>
    <t>CIQ("ZBH","IQ_EBITDA_GUIDANCE","FY2015")</t>
  </si>
  <si>
    <t>CIQ("ZBH","IQ_EBITDA_GUIDANCE","FY2016")</t>
  </si>
  <si>
    <t>CIQ("ZBH","IQ_EBITDA_GUIDANCE","FY2017")</t>
  </si>
  <si>
    <t>CIQ("ZBH","IQ_EBITDA_GUIDANCE","FY2018")</t>
  </si>
  <si>
    <t>CIQ("ZBH","IQ_EBITDA_GUIDANCE","FY2019")</t>
  </si>
  <si>
    <t>ZBRA</t>
  </si>
  <si>
    <t>CIQ("ZBRA","IQ_EPS_EXCL_GUIDANCE","FY2014")</t>
  </si>
  <si>
    <t>CIQ("ZBRA","IQ_EPS_EXCL_GUIDANCE","FY2015")</t>
  </si>
  <si>
    <t>CIQ("ZBRA","IQ_EPS_EXCL_GUIDANCE","FY2016")</t>
  </si>
  <si>
    <t>CIQ("ZBRA","IQ_EPS_EXCL_GUIDANCE","FY2017")</t>
  </si>
  <si>
    <t>CIQ("ZBRA","IQ_EPS_EXCL_GUIDANCE","FY2018")</t>
  </si>
  <si>
    <t>CIQ("ZBRA","IQ_EPS_EXCL_GUIDANCE","FY2019")</t>
  </si>
  <si>
    <t>CIQ("ZBRA","IQ_EPS_EXCL_HIGH_GUIDANCE","FY2014")</t>
  </si>
  <si>
    <t>CIQ("ZBRA","IQ_EPS_EXCL_HIGH_GUIDANCE","FY2015")</t>
  </si>
  <si>
    <t>CIQ("ZBRA","IQ_EPS_EXCL_HIGH_GUIDANCE","FY2016")</t>
  </si>
  <si>
    <t>CIQ("ZBRA","IQ_EPS_EXCL_HIGH_GUIDANCE","FY2017")</t>
  </si>
  <si>
    <t>CIQ("ZBRA","IQ_EPS_EXCL_HIGH_GUIDANCE","FY2018")</t>
  </si>
  <si>
    <t>CIQ("ZBRA","IQ_EPS_EXCL_HIGH_GUIDANCE","FY2019")</t>
  </si>
  <si>
    <t>CIQ("ZBRA","IQ_EPS_EXCL_LOW_GUIDANCE","FY2014")</t>
  </si>
  <si>
    <t>CIQ("ZBRA","IQ_EPS_EXCL_LOW_GUIDANCE","FY2015")</t>
  </si>
  <si>
    <t>CIQ("ZBRA","IQ_EPS_EXCL_LOW_GUIDANCE","FY2016")</t>
  </si>
  <si>
    <t>CIQ("ZBRA","IQ_EPS_EXCL_LOW_GUIDANCE","FY2017")</t>
  </si>
  <si>
    <t>CIQ("ZBRA","IQ_EPS_EXCL_LOW_GUIDANCE","FY2018")</t>
  </si>
  <si>
    <t>CIQ("ZBRA","IQ_EPS_EXCL_LOW_GUIDANCE","FY2019")</t>
  </si>
  <si>
    <t>CIQ("ZBRA","IQ_REVENUE_GUIDANCE","FY2014")</t>
  </si>
  <si>
    <t>CIQ("ZBRA","IQ_REVENUE_GUIDANCE","FY2015")</t>
  </si>
  <si>
    <t>CIQ("ZBRA","IQ_REVENUE_GUIDANCE","FY2016")</t>
  </si>
  <si>
    <t>CIQ("ZBRA","IQ_REVENUE_GUIDANCE","FY2017")</t>
  </si>
  <si>
    <t>CIQ("ZBRA","IQ_REVENUE_GUIDANCE","FY2018")</t>
  </si>
  <si>
    <t>CIQ("ZBRA","IQ_REVENUE_GUIDANCE","FY2019")</t>
  </si>
  <si>
    <t>CIQ("ZBRA","IQ_REVENUE_HIGH_GUIDANCE","FY2014")</t>
  </si>
  <si>
    <t>CIQ("ZBRA","IQ_REVENUE_HIGH_GUIDANCE","FY2015")</t>
  </si>
  <si>
    <t>CIQ("ZBRA","IQ_REVENUE_HIGH_GUIDANCE","FY2016")</t>
  </si>
  <si>
    <t>CIQ("ZBRA","IQ_REVENUE_HIGH_GUIDANCE","FY2017")</t>
  </si>
  <si>
    <t>CIQ("ZBRA","IQ_REVENUE_HIGH_GUIDANCE","FY2018")</t>
  </si>
  <si>
    <t>CIQ("ZBRA","IQ_REVENUE_HIGH_GUIDANCE","FY2019")</t>
  </si>
  <si>
    <t>CIQ("ZBRA","IQ_REVENUE_LOW_GUIDANCE","FY2014")</t>
  </si>
  <si>
    <t>CIQ("ZBRA","IQ_REVENUE_LOW_GUIDANCE","FY2015")</t>
  </si>
  <si>
    <t>CIQ("ZBRA","IQ_REVENUE_LOW_GUIDANCE","FY2016")</t>
  </si>
  <si>
    <t>CIQ("ZBRA","IQ_REVENUE_LOW_GUIDANCE","FY2017")</t>
  </si>
  <si>
    <t>CIQ("ZBRA","IQ_REVENUE_LOW_GUIDANCE","FY2018")</t>
  </si>
  <si>
    <t>CIQ("ZBRA","IQ_REVENUE_LOW_GUIDANCE","FY2019")</t>
  </si>
  <si>
    <t>CIQ("ZBRA","IQ_EBITDA_GUIDANCE","FY2014")</t>
  </si>
  <si>
    <t>CIQ("ZBRA","IQ_EBITDA_GUIDANCE","FY2015")</t>
  </si>
  <si>
    <t>CIQ("ZBRA","IQ_EBITDA_GUIDANCE","FY2016")</t>
  </si>
  <si>
    <t>CIQ("ZBRA","IQ_EBITDA_GUIDANCE","FY2017")</t>
  </si>
  <si>
    <t>CIQ("ZBRA","IQ_EBITDA_GUIDANCE","FY2018")</t>
  </si>
  <si>
    <t>CIQ("ZBRA","IQ_EBITDA_GUIDANCE","FY2019")</t>
  </si>
  <si>
    <t>ZEUS</t>
  </si>
  <si>
    <t>CIQ("ZEUS","IQ_EPS_EXCL_GUIDANCE","FY2014")</t>
  </si>
  <si>
    <t>CIQ("ZEUS","IQ_EPS_EXCL_GUIDANCE","FY2015")</t>
  </si>
  <si>
    <t>CIQ("ZEUS","IQ_EPS_EXCL_GUIDANCE","FY2016")</t>
  </si>
  <si>
    <t>CIQ("ZEUS","IQ_EPS_EXCL_GUIDANCE","FY2017")</t>
  </si>
  <si>
    <t>CIQ("ZEUS","IQ_EPS_EXCL_GUIDANCE","FY2018")</t>
  </si>
  <si>
    <t>CIQ("ZEUS","IQ_EPS_EXCL_GUIDANCE","FY2019")</t>
  </si>
  <si>
    <t>CIQ("ZEUS","IQ_EPS_EXCL_HIGH_GUIDANCE","FY2014")</t>
  </si>
  <si>
    <t>CIQ("ZEUS","IQ_EPS_EXCL_HIGH_GUIDANCE","FY2015")</t>
  </si>
  <si>
    <t>CIQ("ZEUS","IQ_EPS_EXCL_HIGH_GUIDANCE","FY2016")</t>
  </si>
  <si>
    <t>CIQ("ZEUS","IQ_EPS_EXCL_HIGH_GUIDANCE","FY2017")</t>
  </si>
  <si>
    <t>CIQ("ZEUS","IQ_EPS_EXCL_HIGH_GUIDANCE","FY2018")</t>
  </si>
  <si>
    <t>CIQ("ZEUS","IQ_EPS_EXCL_HIGH_GUIDANCE","FY2019")</t>
  </si>
  <si>
    <t>CIQ("ZEUS","IQ_EPS_EXCL_LOW_GUIDANCE","FY2014")</t>
  </si>
  <si>
    <t>CIQ("ZEUS","IQ_EPS_EXCL_LOW_GUIDANCE","FY2015")</t>
  </si>
  <si>
    <t>CIQ("ZEUS","IQ_EPS_EXCL_LOW_GUIDANCE","FY2016")</t>
  </si>
  <si>
    <t>CIQ("ZEUS","IQ_EPS_EXCL_LOW_GUIDANCE","FY2017")</t>
  </si>
  <si>
    <t>CIQ("ZEUS","IQ_EPS_EXCL_LOW_GUIDANCE","FY2018")</t>
  </si>
  <si>
    <t>CIQ("ZEUS","IQ_EPS_EXCL_LOW_GUIDANCE","FY2019")</t>
  </si>
  <si>
    <t>CIQ("ZEUS","IQ_REVENUE_GUIDANCE","FY2014")</t>
  </si>
  <si>
    <t>CIQ("ZEUS","IQ_REVENUE_GUIDANCE","FY2015")</t>
  </si>
  <si>
    <t>CIQ("ZEUS","IQ_REVENUE_GUIDANCE","FY2016")</t>
  </si>
  <si>
    <t>CIQ("ZEUS","IQ_REVENUE_GUIDANCE","FY2017")</t>
  </si>
  <si>
    <t>CIQ("ZEUS","IQ_REVENUE_GUIDANCE","FY2018")</t>
  </si>
  <si>
    <t>CIQ("ZEUS","IQ_REVENUE_GUIDANCE","FY2019")</t>
  </si>
  <si>
    <t>CIQ("ZEUS","IQ_REVENUE_HIGH_GUIDANCE","FY2014")</t>
  </si>
  <si>
    <t>CIQ("ZEUS","IQ_REVENUE_HIGH_GUIDANCE","FY2015")</t>
  </si>
  <si>
    <t>CIQ("ZEUS","IQ_REVENUE_HIGH_GUIDANCE","FY2016")</t>
  </si>
  <si>
    <t>CIQ("ZEUS","IQ_REVENUE_HIGH_GUIDANCE","FY2017")</t>
  </si>
  <si>
    <t>CIQ("ZEUS","IQ_REVENUE_HIGH_GUIDANCE","FY2018")</t>
  </si>
  <si>
    <t>CIQ("ZEUS","IQ_REVENUE_HIGH_GUIDANCE","FY2019")</t>
  </si>
  <si>
    <t>CIQ("ZEUS","IQ_REVENUE_LOW_GUIDANCE","FY2014")</t>
  </si>
  <si>
    <t>CIQ("ZEUS","IQ_REVENUE_LOW_GUIDANCE","FY2015")</t>
  </si>
  <si>
    <t>CIQ("ZEUS","IQ_REVENUE_LOW_GUIDANCE","FY2016")</t>
  </si>
  <si>
    <t>CIQ("ZEUS","IQ_REVENUE_LOW_GUIDANCE","FY2017")</t>
  </si>
  <si>
    <t>CIQ("ZEUS","IQ_REVENUE_LOW_GUIDANCE","FY2018")</t>
  </si>
  <si>
    <t>CIQ("ZEUS","IQ_REVENUE_LOW_GUIDANCE","FY2019")</t>
  </si>
  <si>
    <t>CIQ("ZEUS","IQ_EBITDA_GUIDANCE","FY2014")</t>
  </si>
  <si>
    <t>CIQ("ZEUS","IQ_EBITDA_GUIDANCE","FY2015")</t>
  </si>
  <si>
    <t>CIQ("ZEUS","IQ_EBITDA_GUIDANCE","FY2016")</t>
  </si>
  <si>
    <t>CIQ("ZEUS","IQ_EBITDA_GUIDANCE","FY2017")</t>
  </si>
  <si>
    <t>CIQ("ZEUS","IQ_EBITDA_GUIDANCE","FY2018")</t>
  </si>
  <si>
    <t>CIQ("ZEUS","IQ_EBITDA_GUIDANCE","FY2019")</t>
  </si>
  <si>
    <t>ZION</t>
  </si>
  <si>
    <t>CIQ("ZION","IQ_EPS_EXCL_GUIDANCE","FY2014")</t>
  </si>
  <si>
    <t>CIQ("ZION","IQ_EPS_EXCL_GUIDANCE","FY2015")</t>
  </si>
  <si>
    <t>CIQ("ZION","IQ_EPS_EXCL_GUIDANCE","FY2016")</t>
  </si>
  <si>
    <t>CIQ("ZION","IQ_EPS_EXCL_GUIDANCE","FY2017")</t>
  </si>
  <si>
    <t>CIQ("ZION","IQ_EPS_EXCL_GUIDANCE","FY2018")</t>
  </si>
  <si>
    <t>CIQ("ZION","IQ_EPS_EXCL_GUIDANCE","FY2019")</t>
  </si>
  <si>
    <t>CIQ("ZION","IQ_EPS_EXCL_HIGH_GUIDANCE","FY2014")</t>
  </si>
  <si>
    <t>CIQ("ZION","IQ_EPS_EXCL_HIGH_GUIDANCE","FY2015")</t>
  </si>
  <si>
    <t>CIQ("ZION","IQ_EPS_EXCL_HIGH_GUIDANCE","FY2016")</t>
  </si>
  <si>
    <t>CIQ("ZION","IQ_EPS_EXCL_HIGH_GUIDANCE","FY2017")</t>
  </si>
  <si>
    <t>CIQ("ZION","IQ_EPS_EXCL_HIGH_GUIDANCE","FY2018")</t>
  </si>
  <si>
    <t>CIQ("ZION","IQ_EPS_EXCL_HIGH_GUIDANCE","FY2019")</t>
  </si>
  <si>
    <t>CIQ("ZION","IQ_EPS_EXCL_LOW_GUIDANCE","FY2014")</t>
  </si>
  <si>
    <t>CIQ("ZION","IQ_EPS_EXCL_LOW_GUIDANCE","FY2015")</t>
  </si>
  <si>
    <t>CIQ("ZION","IQ_EPS_EXCL_LOW_GUIDANCE","FY2016")</t>
  </si>
  <si>
    <t>CIQ("ZION","IQ_EPS_EXCL_LOW_GUIDANCE","FY2017")</t>
  </si>
  <si>
    <t>CIQ("ZION","IQ_EPS_EXCL_LOW_GUIDANCE","FY2018")</t>
  </si>
  <si>
    <t>CIQ("ZION","IQ_EPS_EXCL_LOW_GUIDANCE","FY2019")</t>
  </si>
  <si>
    <t>CIQ("ZION","IQ_REVENUE_GUIDANCE","FY2014")</t>
  </si>
  <si>
    <t>CIQ("ZION","IQ_REVENUE_GUIDANCE","FY2015")</t>
  </si>
  <si>
    <t>CIQ("ZION","IQ_REVENUE_GUIDANCE","FY2016")</t>
  </si>
  <si>
    <t>CIQ("ZION","IQ_REVENUE_GUIDANCE","FY2017")</t>
  </si>
  <si>
    <t>CIQ("ZION","IQ_REVENUE_GUIDANCE","FY2018")</t>
  </si>
  <si>
    <t>CIQ("ZION","IQ_REVENUE_GUIDANCE","FY2019")</t>
  </si>
  <si>
    <t>CIQ("ZION","IQ_REVENUE_HIGH_GUIDANCE","FY2014")</t>
  </si>
  <si>
    <t>CIQ("ZION","IQ_REVENUE_HIGH_GUIDANCE","FY2015")</t>
  </si>
  <si>
    <t>CIQ("ZION","IQ_REVENUE_HIGH_GUIDANCE","FY2016")</t>
  </si>
  <si>
    <t>CIQ("ZION","IQ_REVENUE_HIGH_GUIDANCE","FY2017")</t>
  </si>
  <si>
    <t>CIQ("ZION","IQ_REVENUE_HIGH_GUIDANCE","FY2018")</t>
  </si>
  <si>
    <t>CIQ("ZION","IQ_REVENUE_HIGH_GUIDANCE","FY2019")</t>
  </si>
  <si>
    <t>CIQ("ZION","IQ_REVENUE_LOW_GUIDANCE","FY2014")</t>
  </si>
  <si>
    <t>CIQ("ZION","IQ_REVENUE_LOW_GUIDANCE","FY2015")</t>
  </si>
  <si>
    <t>CIQ("ZION","IQ_REVENUE_LOW_GUIDANCE","FY2016")</t>
  </si>
  <si>
    <t>CIQ("ZION","IQ_REVENUE_LOW_GUIDANCE","FY2017")</t>
  </si>
  <si>
    <t>CIQ("ZION","IQ_REVENUE_LOW_GUIDANCE","FY2018")</t>
  </si>
  <si>
    <t>CIQ("ZION","IQ_REVENUE_LOW_GUIDANCE","FY2019")</t>
  </si>
  <si>
    <t>CIQ("ZION","IQ_EBITDA_GUIDANCE","FY2014")</t>
  </si>
  <si>
    <t>CIQ("ZION","IQ_EBITDA_GUIDANCE","FY2015")</t>
  </si>
  <si>
    <t>CIQ("ZION","IQ_EBITDA_GUIDANCE","FY2016")</t>
  </si>
  <si>
    <t>CIQ("ZION","IQ_EBITDA_GUIDANCE","FY2017")</t>
  </si>
  <si>
    <t>CIQ("ZION","IQ_EBITDA_GUIDANCE","FY2018")</t>
  </si>
  <si>
    <t>CIQ("ZION","IQ_EBITDA_GUIDANCE","FY2019")</t>
  </si>
  <si>
    <t>ZTS</t>
  </si>
  <si>
    <t>CIQ("ZTS","IQ_EPS_EXCL_GUIDANCE","FY2014")</t>
  </si>
  <si>
    <t>CIQ("ZTS","IQ_EPS_EXCL_GUIDANCE","FY2015")</t>
  </si>
  <si>
    <t>CIQ("ZTS","IQ_EPS_EXCL_GUIDANCE","FY2016")</t>
  </si>
  <si>
    <t>CIQ("ZTS","IQ_EPS_EXCL_GUIDANCE","FY2017")</t>
  </si>
  <si>
    <t>CIQ("ZTS","IQ_EPS_EXCL_GUIDANCE","FY2018")</t>
  </si>
  <si>
    <t>CIQ("ZTS","IQ_EPS_EXCL_GUIDANCE","FY2019")</t>
  </si>
  <si>
    <t>CIQ("ZTS","IQ_EPS_EXCL_HIGH_GUIDANCE","FY2014")</t>
  </si>
  <si>
    <t>CIQ("ZTS","IQ_EPS_EXCL_HIGH_GUIDANCE","FY2015")</t>
  </si>
  <si>
    <t>CIQ("ZTS","IQ_EPS_EXCL_HIGH_GUIDANCE","FY2016")</t>
  </si>
  <si>
    <t>CIQ("ZTS","IQ_EPS_EXCL_HIGH_GUIDANCE","FY2017")</t>
  </si>
  <si>
    <t>CIQ("ZTS","IQ_EPS_EXCL_HIGH_GUIDANCE","FY2018")</t>
  </si>
  <si>
    <t>CIQ("ZTS","IQ_EPS_EXCL_HIGH_GUIDANCE","FY2019")</t>
  </si>
  <si>
    <t>CIQ("ZTS","IQ_EPS_EXCL_LOW_GUIDANCE","FY2014")</t>
  </si>
  <si>
    <t>CIQ("ZTS","IQ_EPS_EXCL_LOW_GUIDANCE","FY2015")</t>
  </si>
  <si>
    <t>CIQ("ZTS","IQ_EPS_EXCL_LOW_GUIDANCE","FY2016")</t>
  </si>
  <si>
    <t>CIQ("ZTS","IQ_EPS_EXCL_LOW_GUIDANCE","FY2017")</t>
  </si>
  <si>
    <t>CIQ("ZTS","IQ_EPS_EXCL_LOW_GUIDANCE","FY2018")</t>
  </si>
  <si>
    <t>CIQ("ZTS","IQ_EPS_EXCL_LOW_GUIDANCE","FY2019")</t>
  </si>
  <si>
    <t>CIQ("ZTS","IQ_REVENUE_GUIDANCE","FY2014")</t>
  </si>
  <si>
    <t>CIQ("ZTS","IQ_REVENUE_GUIDANCE","FY2015")</t>
  </si>
  <si>
    <t>CIQ("ZTS","IQ_REVENUE_GUIDANCE","FY2016")</t>
  </si>
  <si>
    <t>CIQ("ZTS","IQ_REVENUE_GUIDANCE","FY2017")</t>
  </si>
  <si>
    <t>CIQ("ZTS","IQ_REVENUE_GUIDANCE","FY2018")</t>
  </si>
  <si>
    <t>CIQ("ZTS","IQ_REVENUE_GUIDANCE","FY2019")</t>
  </si>
  <si>
    <t>CIQ("ZTS","IQ_REVENUE_HIGH_GUIDANCE","FY2014")</t>
  </si>
  <si>
    <t>CIQ("ZTS","IQ_REVENUE_HIGH_GUIDANCE","FY2015")</t>
  </si>
  <si>
    <t>CIQ("ZTS","IQ_REVENUE_HIGH_GUIDANCE","FY2016")</t>
  </si>
  <si>
    <t>CIQ("ZTS","IQ_REVENUE_HIGH_GUIDANCE","FY2017")</t>
  </si>
  <si>
    <t>CIQ("ZTS","IQ_REVENUE_HIGH_GUIDANCE","FY2018")</t>
  </si>
  <si>
    <t>CIQ("ZTS","IQ_REVENUE_HIGH_GUIDANCE","FY2019")</t>
  </si>
  <si>
    <t>CIQ("ZTS","IQ_REVENUE_LOW_GUIDANCE","FY2014")</t>
  </si>
  <si>
    <t>CIQ("ZTS","IQ_REVENUE_LOW_GUIDANCE","FY2015")</t>
  </si>
  <si>
    <t>CIQ("ZTS","IQ_REVENUE_LOW_GUIDANCE","FY2016")</t>
  </si>
  <si>
    <t>CIQ("ZTS","IQ_REVENUE_LOW_GUIDANCE","FY2017")</t>
  </si>
  <si>
    <t>CIQ("ZTS","IQ_REVENUE_LOW_GUIDANCE","FY2018")</t>
  </si>
  <si>
    <t>CIQ("ZTS","IQ_REVENUE_LOW_GUIDANCE","FY2019")</t>
  </si>
  <si>
    <t>CIQ("ZTS","IQ_EBITDA_GUIDANCE","FY2014")</t>
  </si>
  <si>
    <t>CIQ("ZTS","IQ_EBITDA_GUIDANCE","FY2015")</t>
  </si>
  <si>
    <t>CIQ("ZTS","IQ_EBITDA_GUIDANCE","FY2016")</t>
  </si>
  <si>
    <t>CIQ("ZTS","IQ_EBITDA_GUIDANCE","FY2017")</t>
  </si>
  <si>
    <t>CIQ("ZTS","IQ_EBITDA_GUIDANCE","FY2018")</t>
  </si>
  <si>
    <t>CIQ("ZTS","IQ_EBITDA_GUIDANCE","FY2019")</t>
  </si>
  <si>
    <t>ZUMZ</t>
  </si>
  <si>
    <t>CIQ("ZUMZ","IQ_EPS_EXCL_GUIDANCE","FY2014")</t>
  </si>
  <si>
    <t>CIQ("ZUMZ","IQ_EPS_EXCL_GUIDANCE","FY2015")</t>
  </si>
  <si>
    <t>CIQ("ZUMZ","IQ_EPS_EXCL_GUIDANCE","FY2016")</t>
  </si>
  <si>
    <t>CIQ("ZUMZ","IQ_EPS_EXCL_GUIDANCE","FY2017")</t>
  </si>
  <si>
    <t>CIQ("ZUMZ","IQ_EPS_EXCL_GUIDANCE","FY2018")</t>
  </si>
  <si>
    <t>CIQ("ZUMZ","IQ_EPS_EXCL_GUIDANCE","FY2019")</t>
  </si>
  <si>
    <t>CIQ("ZUMZ","IQ_EPS_EXCL_HIGH_GUIDANCE","FY2014")</t>
  </si>
  <si>
    <t>CIQ("ZUMZ","IQ_EPS_EXCL_HIGH_GUIDANCE","FY2015")</t>
  </si>
  <si>
    <t>CIQ("ZUMZ","IQ_EPS_EXCL_HIGH_GUIDANCE","FY2016")</t>
  </si>
  <si>
    <t>CIQ("ZUMZ","IQ_EPS_EXCL_HIGH_GUIDANCE","FY2017")</t>
  </si>
  <si>
    <t>CIQ("ZUMZ","IQ_EPS_EXCL_HIGH_GUIDANCE","FY2018")</t>
  </si>
  <si>
    <t>CIQ("ZUMZ","IQ_EPS_EXCL_HIGH_GUIDANCE","FY2019")</t>
  </si>
  <si>
    <t>CIQ("ZUMZ","IQ_EPS_EXCL_LOW_GUIDANCE","FY2014")</t>
  </si>
  <si>
    <t>CIQ("ZUMZ","IQ_EPS_EXCL_LOW_GUIDANCE","FY2015")</t>
  </si>
  <si>
    <t>CIQ("ZUMZ","IQ_EPS_EXCL_LOW_GUIDANCE","FY2016")</t>
  </si>
  <si>
    <t>CIQ("ZUMZ","IQ_EPS_EXCL_LOW_GUIDANCE","FY2017")</t>
  </si>
  <si>
    <t>CIQ("ZUMZ","IQ_EPS_EXCL_LOW_GUIDANCE","FY2018")</t>
  </si>
  <si>
    <t>CIQ("ZUMZ","IQ_EPS_EXCL_LOW_GUIDANCE","FY2019")</t>
  </si>
  <si>
    <t>CIQ("ZUMZ","IQ_REVENUE_GUIDANCE","FY2014")</t>
  </si>
  <si>
    <t>CIQ("ZUMZ","IQ_REVENUE_GUIDANCE","FY2015")</t>
  </si>
  <si>
    <t>CIQ("ZUMZ","IQ_REVENUE_GUIDANCE","FY2016")</t>
  </si>
  <si>
    <t>CIQ("ZUMZ","IQ_REVENUE_GUIDANCE","FY2017")</t>
  </si>
  <si>
    <t>CIQ("ZUMZ","IQ_REVENUE_GUIDANCE","FY2018")</t>
  </si>
  <si>
    <t>CIQ("ZUMZ","IQ_REVENUE_GUIDANCE","FY2019")</t>
  </si>
  <si>
    <t>CIQ("ZUMZ","IQ_REVENUE_HIGH_GUIDANCE","FY2014")</t>
  </si>
  <si>
    <t>CIQ("ZUMZ","IQ_REVENUE_HIGH_GUIDANCE","FY2015")</t>
  </si>
  <si>
    <t>CIQ("ZUMZ","IQ_REVENUE_HIGH_GUIDANCE","FY2016")</t>
  </si>
  <si>
    <t>CIQ("ZUMZ","IQ_REVENUE_HIGH_GUIDANCE","FY2017")</t>
  </si>
  <si>
    <t>CIQ("ZUMZ","IQ_REVENUE_HIGH_GUIDANCE","FY2018")</t>
  </si>
  <si>
    <t>CIQ("ZUMZ","IQ_REVENUE_HIGH_GUIDANCE","FY2019")</t>
  </si>
  <si>
    <t>CIQ("ZUMZ","IQ_REVENUE_LOW_GUIDANCE","FY2014")</t>
  </si>
  <si>
    <t>CIQ("ZUMZ","IQ_REVENUE_LOW_GUIDANCE","FY2015")</t>
  </si>
  <si>
    <t>CIQ("ZUMZ","IQ_REVENUE_LOW_GUIDANCE","FY2016")</t>
  </si>
  <si>
    <t>CIQ("ZUMZ","IQ_REVENUE_LOW_GUIDANCE","FY2017")</t>
  </si>
  <si>
    <t>CIQ("ZUMZ","IQ_REVENUE_LOW_GUIDANCE","FY2018")</t>
  </si>
  <si>
    <t>CIQ("ZUMZ","IQ_REVENUE_LOW_GUIDANCE","FY2019")</t>
  </si>
  <si>
    <t>CIQ("ZUMZ","IQ_EBITDA_GUIDANCE","FY2014")</t>
  </si>
  <si>
    <t>CIQ("ZUMZ","IQ_EBITDA_GUIDANCE","FY2015")</t>
  </si>
  <si>
    <t>CIQ("ZUMZ","IQ_EBITDA_GUIDANCE","FY2016")</t>
  </si>
  <si>
    <t>CIQ("ZUMZ","IQ_EBITDA_GUIDANCE","FY2017")</t>
  </si>
  <si>
    <t>CIQ("ZUMZ","IQ_EBITDA_GUIDANCE","FY2018")</t>
  </si>
  <si>
    <t>CIQ("ZUMZ","IQ_EBITDA_GUIDANCE","FY2019")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</si>
</sst>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f>_xll.ciqfunctions.udf.CIQ("XLNX","IQ_EPS_EXCL_GUIDANCE","FY2014")</f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f>_xll.ciqfunctions.udf.CIQ("XLNX","IQ_EPS_EXCL_GUIDANCE","FY2015")</f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f>_xll.ciqfunctions.udf.CIQ("XLNX","IQ_EPS_EXCL_GUIDANCE","FY2016")</f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>
        <f>_xll.ciqfunctions.udf.CIQ("XLNX","IQ_EPS_EXCL_GUIDANCE","FY2017")</f>
        <v>0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>
        <f>_xll.ciqfunctions.udf.CIQ("XLNX","IQ_EPS_EXCL_GUIDANCE","FY2018")</f>
        <v>0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>
        <f>_xll.ciqfunctions.udf.CIQ("XLNX","IQ_EPS_EXCL_GUIDANCE","FY2019")</f>
        <v>0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_xll.ciqfunctions.udf.CIQ("XLNX","IQ_EPS_EXCL_HIGH_GUIDANCE","FY2014")</f>
        <v>0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_xll.ciqfunctions.udf.CIQ("XLNX","IQ_EPS_EXCL_HIGH_GUIDANCE","FY2015")</f>
        <v>0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_xll.ciqfunctions.udf.CIQ("XLNX","IQ_EPS_EXCL_HIGH_GUIDANCE","FY2016")</f>
        <v>0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_xll.ciqfunctions.udf.CIQ("XLNX","IQ_EPS_EXCL_HIGH_GUIDANCE","FY2017")</f>
        <v>0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_xll.ciqfunctions.udf.CIQ("XLNX","IQ_EPS_EXCL_HIGH_GUIDANCE","FY2018")</f>
        <v>0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_xll.ciqfunctions.udf.CIQ("XLNX","IQ_EPS_EXCL_HIGH_GUIDANCE","FY2019")</f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_xll.ciqfunctions.udf.CIQ("XLNX","IQ_EPS_EXCL_LOW_GUIDANCE","FY2014")</f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_xll.ciqfunctions.udf.CIQ("XLNX","IQ_EPS_EXCL_LOW_GUIDANCE","FY2015")</f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_xll.ciqfunctions.udf.CIQ("XLNX","IQ_EPS_EXCL_LOW_GUIDANCE","FY2016")</f>
        <v>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_xll.ciqfunctions.udf.CIQ("XLNX","IQ_EPS_EXCL_LOW_GUIDANCE","FY2017")</f>
        <v>0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_xll.ciqfunctions.udf.CIQ("XLNX","IQ_EPS_EXCL_LOW_GUIDANCE","FY2018")</f>
        <v>0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_xll.ciqfunctions.udf.CIQ("XLNX","IQ_EPS_EXCL_LOW_GUIDANCE","FY2019")</f>
        <v>0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>
        <f>_xll.ciqfunctions.udf.CIQ("XLNX","IQ_REVENUE_GUIDANCE","FY2014")</f>
        <v>0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 t="str">
        <f>_xll.ciqfunctions.udf.CIQ("XLNX","IQ_REVENUE_GUIDANCE","FY2015")</f>
        <v>2382.53 - 2477.83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>
        <f>_xll.ciqfunctions.udf.CIQ("XLNX","IQ_REVENUE_GUIDANCE","FY2016")</f>
        <v>0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 t="str">
        <f>_xll.ciqfunctions.udf.CIQ("XLNX","IQ_REVENUE_GUIDANCE","FY2017")</f>
        <v>2302.44 - 2390.99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 t="str">
        <f>_xll.ciqfunctions.udf.CIQ("XLNX","IQ_REVENUE_GUIDANCE","FY2018")</f>
        <v xml:space="preserve"> &gt; 2500.00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 t="str">
        <f>_xll.ciqfunctions.udf.CIQ("XLNX","IQ_REVENUE_GUIDANCE","FY2019")</f>
        <v>2950.00 - 3000.00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_xll.ciqfunctions.udf.CIQ("XLNX","IQ_REVENUE_HIGH_GUIDANCE","FY2014")</f>
        <v>0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_xll.ciqfunctions.udf.CIQ("XLNX","IQ_REVENUE_HIGH_GUIDANCE","FY2015")</f>
        <v>2477.8322400000002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_xll.ciqfunctions.udf.CIQ("XLNX","IQ_REVENUE_HIGH_GUIDANCE","FY2016")</f>
        <v>0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_xll.ciqfunctions.udf.CIQ("XLNX","IQ_REVENUE_HIGH_GUIDANCE","FY2017")</f>
        <v>2390.9914800000001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_xll.ciqfunctions.udf.CIQ("XLNX","IQ_REVENUE_HIGH_GUIDANCE","FY2018")</f>
        <v>0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_xll.ciqfunctions.udf.CIQ("XLNX","IQ_REVENUE_HIGH_GUIDANCE","FY2019")</f>
        <v>3000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_xll.ciqfunctions.udf.CIQ("XLNX","IQ_REVENUE_LOW_GUIDANCE","FY2014")</f>
        <v>0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_xll.ciqfunctions.udf.CIQ("XLNX","IQ_REVENUE_LOW_GUIDANCE","FY2015")</f>
        <v>2382.5309999999999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_xll.ciqfunctions.udf.CIQ("XLNX","IQ_REVENUE_LOW_GUIDANCE","FY2016")</f>
        <v>0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_xll.ciqfunctions.udf.CIQ("XLNX","IQ_REVENUE_LOW_GUIDANCE","FY2017")</f>
        <v>2302.43624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_xll.ciqfunctions.udf.CIQ("XLNX","IQ_REVENUE_LOW_GUIDANCE","FY2018")</f>
        <v>2500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_xll.ciqfunctions.udf.CIQ("XLNX","IQ_REVENUE_LOW_GUIDANCE","FY2019")</f>
        <v>2950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_xll.ciqfunctions.udf.CIQ("XLNX","IQ_EBITDA_GUIDANCE","FY2014")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_xll.ciqfunctions.udf.CIQ("XLNX","IQ_EBITDA_GUIDANCE","FY2015")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_xll.ciqfunctions.udf.CIQ("XLNX","IQ_EBITDA_GUIDANCE","FY2016")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_xll.ciqfunctions.udf.CIQ("XLNX","IQ_EBITDA_GUIDANCE","FY2017")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_xll.ciqfunctions.udf.CIQ("XLNX","IQ_EBITDA_GUIDANCE","FY2018")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_xll.ciqfunctions.udf.CIQ("XLNX","IQ_EBITDA_GUIDANCE","FY2019")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>
        <f>_xll.ciqfunctions.udf.CIQ("XOM","IQ_EPS_EXCL_GUIDANCE","FY2014")</f>
        <v>0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>
        <f>_xll.ciqfunctions.udf.CIQ("XOM","IQ_EPS_EXCL_GUIDANCE","FY2015")</f>
        <v>0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>
        <f>_xll.ciqfunctions.udf.CIQ("XOM","IQ_EPS_EXCL_GUIDANCE","FY2016")</f>
        <v>0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>
        <f>_xll.ciqfunctions.udf.CIQ("XOM","IQ_EPS_EXCL_GUIDANCE","FY2017")</f>
        <v>0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>
        <f>_xll.ciqfunctions.udf.CIQ("XOM","IQ_EPS_EXCL_GUIDANCE","FY2018")</f>
        <v>0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>
        <f>_xll.ciqfunctions.udf.CIQ("XOM","IQ_EPS_EXCL_GUIDANCE","FY2019")</f>
        <v>0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_xll.ciqfunctions.udf.CIQ("XOM","IQ_EPS_EXCL_HIGH_GUIDANCE","FY2014")</f>
        <v>0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_xll.ciqfunctions.udf.CIQ("XOM","IQ_EPS_EXCL_HIGH_GUIDANCE","FY2015")</f>
        <v>0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_xll.ciqfunctions.udf.CIQ("XOM","IQ_EPS_EXCL_HIGH_GUIDANCE","FY2016")</f>
        <v>0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_xll.ciqfunctions.udf.CIQ("XOM","IQ_EPS_EXCL_HIGH_GUIDANCE","FY2017")</f>
        <v>0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_xll.ciqfunctions.udf.CIQ("XOM","IQ_EPS_EXCL_HIGH_GUIDANCE","FY2018")</f>
        <v>0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_xll.ciqfunctions.udf.CIQ("XOM","IQ_EPS_EXCL_HIGH_GUIDANCE","FY2019")</f>
        <v>0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_xll.ciqfunctions.udf.CIQ("XOM","IQ_EPS_EXCL_LOW_GUIDANCE","FY2014")</f>
        <v>0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_xll.ciqfunctions.udf.CIQ("XOM","IQ_EPS_EXCL_LOW_GUIDANCE","FY2015")</f>
        <v>0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_xll.ciqfunctions.udf.CIQ("XOM","IQ_EPS_EXCL_LOW_GUIDANCE","FY2016")</f>
        <v>0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_xll.ciqfunctions.udf.CIQ("XOM","IQ_EPS_EXCL_LOW_GUIDANCE","FY2017")</f>
        <v>0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_xll.ciqfunctions.udf.CIQ("XOM","IQ_EPS_EXCL_LOW_GUIDANCE","FY2018")</f>
        <v>0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_xll.ciqfunctions.udf.CIQ("XOM","IQ_EPS_EXCL_LOW_GUIDANCE","FY2019")</f>
        <v>0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>
        <f>_xll.ciqfunctions.udf.CIQ("XOM","IQ_REVENUE_GUIDANCE","FY2014")</f>
        <v>0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_xll.ciqfunctions.udf.CIQ("XOM","IQ_REVENUE_GUIDANCE","FY2015")</f>
        <v>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>
        <f>_xll.ciqfunctions.udf.CIQ("XOM","IQ_REVENUE_GUIDANCE","FY2016")</f>
        <v>0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>
        <f>_xll.ciqfunctions.udf.CIQ("XOM","IQ_REVENUE_GUIDANCE","FY2017")</f>
        <v>0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_xll.ciqfunctions.udf.CIQ("XOM","IQ_REVENUE_GUIDANCE","FY2018")</f>
        <v>0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>
        <f>_xll.ciqfunctions.udf.CIQ("XOM","IQ_REVENUE_GUIDANCE","FY2019")</f>
        <v>0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_xll.ciqfunctions.udf.CIQ("XOM","IQ_REVENUE_HIGH_GUIDANCE","FY2014")</f>
        <v>0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_xll.ciqfunctions.udf.CIQ("XOM","IQ_REVENUE_HIGH_GUIDANCE","FY2015")</f>
        <v>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_xll.ciqfunctions.udf.CIQ("XOM","IQ_REVENUE_HIGH_GUIDANCE","FY2016")</f>
        <v>0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_xll.ciqfunctions.udf.CIQ("XOM","IQ_REVENUE_HIGH_GUIDANCE","FY2017")</f>
        <v>0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_xll.ciqfunctions.udf.CIQ("XOM","IQ_REVENUE_HIGH_GUIDANCE","FY2018")</f>
        <v>0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_xll.ciqfunctions.udf.CIQ("XOM","IQ_REVENUE_HIGH_GUIDANCE","FY2019")</f>
        <v>0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_xll.ciqfunctions.udf.CIQ("XOM","IQ_REVENUE_LOW_GUIDANCE","FY2014")</f>
        <v>0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_xll.ciqfunctions.udf.CIQ("XOM","IQ_REVENUE_LOW_GUIDANCE","FY2015")</f>
        <v>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_xll.ciqfunctions.udf.CIQ("XOM","IQ_REVENUE_LOW_GUIDANCE","FY2016")</f>
        <v>0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_xll.ciqfunctions.udf.CIQ("XOM","IQ_REVENUE_LOW_GUIDANCE","FY2017")</f>
        <v>0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_xll.ciqfunctions.udf.CIQ("XOM","IQ_REVENUE_LOW_GUIDANCE","FY2018")</f>
        <v>0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_xll.ciqfunctions.udf.CIQ("XOM","IQ_REVENUE_LOW_GUIDANCE","FY2019")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_xll.ciqfunctions.udf.CIQ("XOM","IQ_EBITDA_GUIDANCE","FY2014")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_xll.ciqfunctions.udf.CIQ("XOM","IQ_EBITDA_GUIDANCE","FY2015")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_xll.ciqfunctions.udf.CIQ("XOM","IQ_EBITDA_GUIDANCE","FY2016")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_xll.ciqfunctions.udf.CIQ("XOM","IQ_EBITDA_GUIDANCE","FY2017")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_xll.ciqfunctions.udf.CIQ("XOM","IQ_EBITDA_GUIDANCE","FY2018")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>
        <f>_xll.ciqfunctions.udf.CIQ("XOM","IQ_EBITDA_GUIDANCE","FY2019")</f>
        <v>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>
        <f>_xll.ciqfunctions.udf.CIQ("XOXO","IQ_EPS_EXCL_GUIDANCE","FY2014")</f>
        <v>0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>
        <f>_xll.ciqfunctions.udf.CIQ("XOXO","IQ_EPS_EXCL_GUIDANCE","FY2015")</f>
        <v>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>
        <f>_xll.ciqfunctions.udf.CIQ("XOXO","IQ_EPS_EXCL_GUIDANCE","FY2016")</f>
        <v>0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>
        <f>_xll.ciqfunctions.udf.CIQ("XOXO","IQ_EPS_EXCL_GUIDANCE","FY2017")</f>
        <v>0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>
        <f>_xll.ciqfunctions.udf.CIQ("XOXO","IQ_EPS_EXCL_GUIDANCE","FY2018")</f>
        <v>0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>
        <f>_xll.ciqfunctions.udf.CIQ("XOXO","IQ_EPS_EXCL_GUIDANCE","FY2019")</f>
        <v>0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_xll.ciqfunctions.udf.CIQ("XOXO","IQ_EPS_EXCL_HIGH_GUIDANCE","FY2014")</f>
        <v>0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_xll.ciqfunctions.udf.CIQ("XOXO","IQ_EPS_EXCL_HIGH_GUIDANCE","FY2015")</f>
        <v>0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_xll.ciqfunctions.udf.CIQ("XOXO","IQ_EPS_EXCL_HIGH_GUIDANCE","FY2016")</f>
        <v>0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_xll.ciqfunctions.udf.CIQ("XOXO","IQ_EPS_EXCL_HIGH_GUIDANCE","FY2017")</f>
        <v>0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_xll.ciqfunctions.udf.CIQ("XOXO","IQ_EPS_EXCL_HIGH_GUIDANCE","FY2018")</f>
        <v>0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_xll.ciqfunctions.udf.CIQ("XOXO","IQ_EPS_EXCL_HIGH_GUIDANCE","FY2019")</f>
        <v>0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_xll.ciqfunctions.udf.CIQ("XOXO","IQ_EPS_EXCL_LOW_GUIDANCE","FY2014")</f>
        <v>0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_xll.ciqfunctions.udf.CIQ("XOXO","IQ_EPS_EXCL_LOW_GUIDANCE","FY2015")</f>
        <v>0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_xll.ciqfunctions.udf.CIQ("XOXO","IQ_EPS_EXCL_LOW_GUIDANCE","FY2016")</f>
        <v>0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_xll.ciqfunctions.udf.CIQ("XOXO","IQ_EPS_EXCL_LOW_GUIDANCE","FY2017")</f>
        <v>0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_xll.ciqfunctions.udf.CIQ("XOXO","IQ_EPS_EXCL_LOW_GUIDANCE","FY2018")</f>
        <v>0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_xll.ciqfunctions.udf.CIQ("XOXO","IQ_EPS_EXCL_LOW_GUIDANCE","FY2019")</f>
        <v>0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>
        <f>_xll.ciqfunctions.udf.CIQ("XOXO","IQ_REVENUE_GUIDANCE","FY2014")</f>
        <v>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>
        <f>_xll.ciqfunctions.udf.CIQ("XOXO","IQ_REVENUE_GUIDANCE","FY2015")</f>
        <v>0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>
        <f>_xll.ciqfunctions.udf.CIQ("XOXO","IQ_REVENUE_GUIDANCE","FY2016")</f>
        <v>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_xll.ciqfunctions.udf.CIQ("XOXO","IQ_REVENUE_GUIDANCE","FY2017")</f>
        <v>0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>
        <f>_xll.ciqfunctions.udf.CIQ("XOXO","IQ_REVENUE_GUIDANCE","FY2018")</f>
        <v>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>
        <f>_xll.ciqfunctions.udf.CIQ("XOXO","IQ_REVENUE_GUIDANCE","FY2019")</f>
        <v>0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_xll.ciqfunctions.udf.CIQ("XOXO","IQ_REVENUE_HIGH_GUIDANCE","FY2014")</f>
        <v>0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_xll.ciqfunctions.udf.CIQ("XOXO","IQ_REVENUE_HIGH_GUIDANCE","FY2015")</f>
        <v>0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_xll.ciqfunctions.udf.CIQ("XOXO","IQ_REVENUE_HIGH_GUIDANCE","FY2016")</f>
        <v>0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_xll.ciqfunctions.udf.CIQ("XOXO","IQ_REVENUE_HIGH_GUIDANCE","FY2017")</f>
        <v>0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_xll.ciqfunctions.udf.CIQ("XOXO","IQ_REVENUE_HIGH_GUIDANCE","FY2018")</f>
        <v>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_xll.ciqfunctions.udf.CIQ("XOXO","IQ_REVENUE_HIGH_GUIDANCE","FY2019")</f>
        <v>0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_xll.ciqfunctions.udf.CIQ("XOXO","IQ_REVENUE_LOW_GUIDANCE","FY2014")</f>
        <v>0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_xll.ciqfunctions.udf.CIQ("XOXO","IQ_REVENUE_LOW_GUIDANCE","FY2015")</f>
        <v>0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_xll.ciqfunctions.udf.CIQ("XOXO","IQ_REVENUE_LOW_GUIDANCE","FY2016")</f>
        <v>0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_xll.ciqfunctions.udf.CIQ("XOXO","IQ_REVENUE_LOW_GUIDANCE","FY2017")</f>
        <v>0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_xll.ciqfunctions.udf.CIQ("XOXO","IQ_REVENUE_LOW_GUIDANCE","FY2018")</f>
        <v>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_xll.ciqfunctions.udf.CIQ("XOXO","IQ_REVENUE_LOW_GUIDANCE","FY2019")</f>
        <v>0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_xll.ciqfunctions.udf.CIQ("XOXO","IQ_EBITDA_GUIDANCE","FY2014")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_xll.ciqfunctions.udf.CIQ("XOXO","IQ_EBITDA_GUIDANCE","FY2015")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_xll.ciqfunctions.udf.CIQ("XOXO","IQ_EBITDA_GUIDANCE","FY2016")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_xll.ciqfunctions.udf.CIQ("XOXO","IQ_EBITDA_GUIDANCE","FY2017")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_xll.ciqfunctions.udf.CIQ("XOXO","IQ_EBITDA_GUIDANCE","FY2018")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>
        <f>_xll.ciqfunctions.udf.CIQ("XOXO","IQ_EBITDA_GUIDANCE","FY2019")</f>
        <v>0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 t="str">
        <f>_xll.ciqfunctions.udf.CIQ("XRAY","IQ_EPS_EXCL_GUIDANCE","FY2014")</f>
        <v>2.49 - 2.53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 t="str">
        <f>_xll.ciqfunctions.udf.CIQ("XRAY","IQ_EPS_EXCL_GUIDANCE","FY2015")</f>
        <v>2.58 - 2.64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 t="str">
        <f>_xll.ciqfunctions.udf.CIQ("XRAY","IQ_EPS_EXCL_GUIDANCE","FY2016")</f>
        <v>2.75 - 2.80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 t="str">
        <f>_xll.ciqfunctions.udf.CIQ("XRAY","IQ_EPS_EXCL_GUIDANCE","FY2017")</f>
        <v>2.65 - 2.70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 t="str">
        <f>_xll.ciqfunctions.udf.CIQ("XRAY","IQ_EPS_EXCL_GUIDANCE","FY2018")</f>
        <v xml:space="preserve"> &lt; 2.00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 t="str">
        <f>_xll.ciqfunctions.udf.CIQ("XRAY","IQ_EPS_EXCL_GUIDANCE","FY2019")</f>
        <v>2.42 - 2.48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_xll.ciqfunctions.udf.CIQ("XRAY","IQ_EPS_EXCL_HIGH_GUIDANCE","FY2014")</f>
        <v>2.5299999999999998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_xll.ciqfunctions.udf.CIQ("XRAY","IQ_EPS_EXCL_HIGH_GUIDANCE","FY2015")</f>
        <v>2.64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_xll.ciqfunctions.udf.CIQ("XRAY","IQ_EPS_EXCL_HIGH_GUIDANCE","FY2016")</f>
        <v>2.8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_xll.ciqfunctions.udf.CIQ("XRAY","IQ_EPS_EXCL_HIGH_GUIDANCE","FY2017")</f>
        <v>2.7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_xll.ciqfunctions.udf.CIQ("XRAY","IQ_EPS_EXCL_HIGH_GUIDANCE","FY2018")</f>
        <v>2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_xll.ciqfunctions.udf.CIQ("XRAY","IQ_EPS_EXCL_HIGH_GUIDANCE","FY2019")</f>
        <v>2.48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_xll.ciqfunctions.udf.CIQ("XRAY","IQ_EPS_EXCL_LOW_GUIDANCE","FY2014")</f>
        <v>2.4900000000000002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_xll.ciqfunctions.udf.CIQ("XRAY","IQ_EPS_EXCL_LOW_GUIDANCE","FY2015")</f>
        <v>2.58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_xll.ciqfunctions.udf.CIQ("XRAY","IQ_EPS_EXCL_LOW_GUIDANCE","FY2016")</f>
        <v>2.75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_xll.ciqfunctions.udf.CIQ("XRAY","IQ_EPS_EXCL_LOW_GUIDANCE","FY2017")</f>
        <v>2.65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_xll.ciqfunctions.udf.CIQ("XRAY","IQ_EPS_EXCL_LOW_GUIDANCE","FY2018")</f>
        <v>0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_xll.ciqfunctions.udf.CIQ("XRAY","IQ_EPS_EXCL_LOW_GUIDANCE","FY2019")</f>
        <v>2.42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>
        <f>_xll.ciqfunctions.udf.CIQ("XRAY","IQ_REVENUE_GUIDANCE","FY2014")</f>
        <v>0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>
        <f>_xll.ciqfunctions.udf.CIQ("XRAY","IQ_REVENUE_GUIDANCE","FY2015")</f>
        <v>0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>
        <f>_xll.ciqfunctions.udf.CIQ("XRAY","IQ_REVENUE_GUIDANCE","FY2016")</f>
        <v>3730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>
        <f>_xll.ciqfunctions.udf.CIQ("XRAY","IQ_REVENUE_GUIDANCE","FY2017")</f>
        <v>3950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>
        <f>_xll.ciqfunctions.udf.CIQ("XRAY","IQ_REVENUE_GUIDANCE","FY2018")</f>
        <v>3950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 t="str">
        <f>_xll.ciqfunctions.udf.CIQ("XRAY","IQ_REVENUE_GUIDANCE","FY2019")</f>
        <v>3950.00 - 4050.00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_xll.ciqfunctions.udf.CIQ("XRAY","IQ_REVENUE_HIGH_GUIDANCE","FY2014")</f>
        <v>0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_xll.ciqfunctions.udf.CIQ("XRAY","IQ_REVENUE_HIGH_GUIDANCE","FY2015")</f>
        <v>0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_xll.ciqfunctions.udf.CIQ("XRAY","IQ_REVENUE_HIGH_GUIDANCE","FY2016")</f>
        <v>3730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_xll.ciqfunctions.udf.CIQ("XRAY","IQ_REVENUE_HIGH_GUIDANCE","FY2017")</f>
        <v>3950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_xll.ciqfunctions.udf.CIQ("XRAY","IQ_REVENUE_HIGH_GUIDANCE","FY2018")</f>
        <v>3950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_xll.ciqfunctions.udf.CIQ("XRAY","IQ_REVENUE_HIGH_GUIDANCE","FY2019")</f>
        <v>4050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_xll.ciqfunctions.udf.CIQ("XRAY","IQ_REVENUE_LOW_GUIDANCE","FY2014")</f>
        <v>0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_xll.ciqfunctions.udf.CIQ("XRAY","IQ_REVENUE_LOW_GUIDANCE","FY2015")</f>
        <v>0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_xll.ciqfunctions.udf.CIQ("XRAY","IQ_REVENUE_LOW_GUIDANCE","FY2016")</f>
        <v>3730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_xll.ciqfunctions.udf.CIQ("XRAY","IQ_REVENUE_LOW_GUIDANCE","FY2017")</f>
        <v>3950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_xll.ciqfunctions.udf.CIQ("XRAY","IQ_REVENUE_LOW_GUIDANCE","FY2018")</f>
        <v>3950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_xll.ciqfunctions.udf.CIQ("XRAY","IQ_REVENUE_LOW_GUIDANCE","FY2019")</f>
        <v>3950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_xll.ciqfunctions.udf.CIQ("XRAY","IQ_EBITDA_GUIDANCE","FY2014")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_xll.ciqfunctions.udf.CIQ("XRAY","IQ_EBITDA_GUIDANCE","FY2015")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_xll.ciqfunctions.udf.CIQ("XRAY","IQ_EBITDA_GUIDANCE","FY2016")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_xll.ciqfunctions.udf.CIQ("XRAY","IQ_EBITDA_GUIDANCE","FY2017")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_xll.ciqfunctions.udf.CIQ("XRAY","IQ_EBITDA_GUIDANCE","FY2018")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_xll.ciqfunctions.udf.CIQ("XRAY","IQ_EBITDA_GUIDANCE","FY2019")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 t="str">
        <f>_xll.ciqfunctions.udf.CIQ("XRX","IQ_EPS_EXCL_GUIDANCE","FY2014")</f>
        <v>4.16 - 4.24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>
        <f>_xll.ciqfunctions.udf.CIQ("XRX","IQ_EPS_EXCL_GUIDANCE","FY2015")</f>
        <v>3.8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 t="str">
        <f>_xll.ciqfunctions.udf.CIQ("XRX","IQ_EPS_EXCL_GUIDANCE","FY2016")</f>
        <v>4.44 - 4.56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 t="str">
        <f>_xll.ciqfunctions.udf.CIQ("XRX","IQ_EPS_EXCL_GUIDANCE","FY2017")</f>
        <v>3.28 - 3.44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 t="str">
        <f>_xll.ciqfunctions.udf.CIQ("XRX","IQ_EPS_EXCL_GUIDANCE","FY2018")</f>
        <v>3.50 - 3.70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 t="str">
        <f>_xll.ciqfunctions.udf.CIQ("XRX","IQ_EPS_EXCL_GUIDANCE","FY2019")</f>
        <v>3.30 - 3.40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_xll.ciqfunctions.udf.CIQ("XRX","IQ_EPS_EXCL_HIGH_GUIDANCE","FY2014")</f>
        <v>4.24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_xll.ciqfunctions.udf.CIQ("XRX","IQ_EPS_EXCL_HIGH_GUIDANCE","FY2015")</f>
        <v>3.8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_xll.ciqfunctions.udf.CIQ("XRX","IQ_EPS_EXCL_HIGH_GUIDANCE","FY2016")</f>
        <v>4.5599999999999996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_xll.ciqfunctions.udf.CIQ("XRX","IQ_EPS_EXCL_HIGH_GUIDANCE","FY2017")</f>
        <v>3.44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_xll.ciqfunctions.udf.CIQ("XRX","IQ_EPS_EXCL_HIGH_GUIDANCE","FY2018")</f>
        <v>3.7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_xll.ciqfunctions.udf.CIQ("XRX","IQ_EPS_EXCL_HIGH_GUIDANCE","FY2019")</f>
        <v>3.4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_xll.ciqfunctions.udf.CIQ("XRX","IQ_EPS_EXCL_LOW_GUIDANCE","FY2014")</f>
        <v>4.16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_xll.ciqfunctions.udf.CIQ("XRX","IQ_EPS_EXCL_LOW_GUIDANCE","FY2015")</f>
        <v>3.8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_xll.ciqfunctions.udf.CIQ("XRX","IQ_EPS_EXCL_LOW_GUIDANCE","FY2016")</f>
        <v>4.4400000000000004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_xll.ciqfunctions.udf.CIQ("XRX","IQ_EPS_EXCL_LOW_GUIDANCE","FY2017")</f>
        <v>3.28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_xll.ciqfunctions.udf.CIQ("XRX","IQ_EPS_EXCL_LOW_GUIDANCE","FY2018")</f>
        <v>3.5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_xll.ciqfunctions.udf.CIQ("XRX","IQ_EPS_EXCL_LOW_GUIDANCE","FY2019")</f>
        <v>3.3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>
        <f>_xll.ciqfunctions.udf.CIQ("XRX","IQ_REVENUE_GUIDANCE","FY2014")</f>
        <v>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>
        <f>_xll.ciqfunctions.udf.CIQ("XRX","IQ_REVENUE_GUIDANCE","FY2015")</f>
        <v>18953.8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_xll.ciqfunctions.udf.CIQ("XRX","IQ_REVENUE_GUIDANCE","FY2016")</f>
        <v>0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 t="str">
        <f>_xll.ciqfunctions.udf.CIQ("XRX","IQ_REVENUE_GUIDANCE","FY2017")</f>
        <v>9909.32 - 10124.74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>
        <f>_xll.ciqfunctions.udf.CIQ("XRX","IQ_REVENUE_GUIDANCE","FY2018")</f>
        <v>0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>
        <f>_xll.ciqfunctions.udf.CIQ("XRX","IQ_REVENUE_GUIDANCE","FY2019")</f>
        <v>9050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_xll.ciqfunctions.udf.CIQ("XRX","IQ_REVENUE_HIGH_GUIDANCE","FY2014")</f>
        <v>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_xll.ciqfunctions.udf.CIQ("XRX","IQ_REVENUE_HIGH_GUIDANCE","FY2015")</f>
        <v>18953.8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_xll.ciqfunctions.udf.CIQ("XRX","IQ_REVENUE_HIGH_GUIDANCE","FY2016")</f>
        <v>0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_xll.ciqfunctions.udf.CIQ("XRX","IQ_REVENUE_HIGH_GUIDANCE","FY2017")</f>
        <v>10124.74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_xll.ciqfunctions.udf.CIQ("XRX","IQ_REVENUE_HIGH_GUIDANCE","FY2018")</f>
        <v>0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_xll.ciqfunctions.udf.CIQ("XRX","IQ_REVENUE_HIGH_GUIDANCE","FY2019")</f>
        <v>9050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_xll.ciqfunctions.udf.CIQ("XRX","IQ_REVENUE_LOW_GUIDANCE","FY2014")</f>
        <v>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_xll.ciqfunctions.udf.CIQ("XRX","IQ_REVENUE_LOW_GUIDANCE","FY2015")</f>
        <v>18953.8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_xll.ciqfunctions.udf.CIQ("XRX","IQ_REVENUE_LOW_GUIDANCE","FY2016")</f>
        <v>0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_xll.ciqfunctions.udf.CIQ("XRX","IQ_REVENUE_LOW_GUIDANCE","FY2017")</f>
        <v>9909.32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_xll.ciqfunctions.udf.CIQ("XRX","IQ_REVENUE_LOW_GUIDANCE","FY2018")</f>
        <v>0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_xll.ciqfunctions.udf.CIQ("XRX","IQ_REVENUE_LOW_GUIDANCE","FY2019")</f>
        <v>9050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_xll.ciqfunctions.udf.CIQ("XRX","IQ_EBITDA_GUIDANCE","FY2014")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_xll.ciqfunctions.udf.CIQ("XRX","IQ_EBITDA_GUIDANCE","FY2015")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_xll.ciqfunctions.udf.CIQ("XRX","IQ_EBITDA_GUIDANCE","FY2016")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_xll.ciqfunctions.udf.CIQ("XRX","IQ_EBITDA_GUIDANCE","FY2017")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_xll.ciqfunctions.udf.CIQ("XRX","IQ_EBITDA_GUIDANCE","FY2018")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_xll.ciqfunctions.udf.CIQ("XRX","IQ_EBITDA_GUIDANCE","FY2019")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 t="str">
        <f>_xll.ciqfunctions.udf.CIQ("XYL","IQ_EPS_EXCL_GUIDANCE","FY2014")</f>
        <v>1.92 - 1.98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 t="str">
        <f>_xll.ciqfunctions.udf.CIQ("XYL","IQ_EPS_EXCL_GUIDANCE","FY2015")</f>
        <v>1.82 - 1.87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 t="str">
        <f>_xll.ciqfunctions.udf.CIQ("XYL","IQ_EPS_EXCL_GUIDANCE","FY2016")</f>
        <v>2.02 - 2.04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 t="str">
        <f>_xll.ciqfunctions.udf.CIQ("XYL","IQ_EPS_EXCL_GUIDANCE","FY2017")</f>
        <v>2.39 - 2.41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 t="str">
        <f>_xll.ciqfunctions.udf.CIQ("XYL","IQ_EPS_EXCL_GUIDANCE","FY2018")</f>
        <v>2.87 - 2.89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 t="str">
        <f>_xll.ciqfunctions.udf.CIQ("XYL","IQ_EPS_EXCL_GUIDANCE","FY2019")</f>
        <v>3.01 - 3.03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_xll.ciqfunctions.udf.CIQ("XYL","IQ_EPS_EXCL_HIGH_GUIDANCE","FY2014")</f>
        <v>1.98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_xll.ciqfunctions.udf.CIQ("XYL","IQ_EPS_EXCL_HIGH_GUIDANCE","FY2015")</f>
        <v>1.87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_xll.ciqfunctions.udf.CIQ("XYL","IQ_EPS_EXCL_HIGH_GUIDANCE","FY2016")</f>
        <v>2.04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_xll.ciqfunctions.udf.CIQ("XYL","IQ_EPS_EXCL_HIGH_GUIDANCE","FY2017")</f>
        <v>2.41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_xll.ciqfunctions.udf.CIQ("XYL","IQ_EPS_EXCL_HIGH_GUIDANCE","FY2018")</f>
        <v>2.89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_xll.ciqfunctions.udf.CIQ("XYL","IQ_EPS_EXCL_HIGH_GUIDANCE","FY2019")</f>
        <v>3.03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_xll.ciqfunctions.udf.CIQ("XYL","IQ_EPS_EXCL_LOW_GUIDANCE","FY2014")</f>
        <v>1.92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_xll.ciqfunctions.udf.CIQ("XYL","IQ_EPS_EXCL_LOW_GUIDANCE","FY2015")</f>
        <v>1.82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_xll.ciqfunctions.udf.CIQ("XYL","IQ_EPS_EXCL_LOW_GUIDANCE","FY2016")</f>
        <v>2.02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_xll.ciqfunctions.udf.CIQ("XYL","IQ_EPS_EXCL_LOW_GUIDANCE","FY2017")</f>
        <v>2.39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_xll.ciqfunctions.udf.CIQ("XYL","IQ_EPS_EXCL_LOW_GUIDANCE","FY2018")</f>
        <v>2.87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_xll.ciqfunctions.udf.CIQ("XYL","IQ_EPS_EXCL_LOW_GUIDANCE","FY2019")</f>
        <v>3.01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>
        <f>_xll.ciqfunctions.udf.CIQ("XYL","IQ_REVENUE_GUIDANCE","FY2014")</f>
        <v>4000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_xll.ciqfunctions.udf.CIQ("XYL","IQ_REVENUE_GUIDANCE","FY2015")</f>
        <v>3700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>
        <f>_xll.ciqfunctions.udf.CIQ("XYL","IQ_REVENUE_GUIDANCE","FY2016")</f>
        <v>3800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>
        <f>_xll.ciqfunctions.udf.CIQ("XYL","IQ_REVENUE_GUIDANCE","FY2017")</f>
        <v>4700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>
        <f>_xll.ciqfunctions.udf.CIQ("XYL","IQ_REVENUE_GUIDANCE","FY2018")</f>
        <v>5200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 t="str">
        <f>_xll.ciqfunctions.udf.CIQ("XYL","IQ_REVENUE_GUIDANCE","FY2019")</f>
        <v>5240.00 - 5270.00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_xll.ciqfunctions.udf.CIQ("XYL","IQ_REVENUE_HIGH_GUIDANCE","FY2014")</f>
        <v>4000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_xll.ciqfunctions.udf.CIQ("XYL","IQ_REVENUE_HIGH_GUIDANCE","FY2015")</f>
        <v>3700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_xll.ciqfunctions.udf.CIQ("XYL","IQ_REVENUE_HIGH_GUIDANCE","FY2016")</f>
        <v>3800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_xll.ciqfunctions.udf.CIQ("XYL","IQ_REVENUE_HIGH_GUIDANCE","FY2017")</f>
        <v>4700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_xll.ciqfunctions.udf.CIQ("XYL","IQ_REVENUE_HIGH_GUIDANCE","FY2018")</f>
        <v>5200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_xll.ciqfunctions.udf.CIQ("XYL","IQ_REVENUE_HIGH_GUIDANCE","FY2019")</f>
        <v>5270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_xll.ciqfunctions.udf.CIQ("XYL","IQ_REVENUE_LOW_GUIDANCE","FY2014")</f>
        <v>4000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_xll.ciqfunctions.udf.CIQ("XYL","IQ_REVENUE_LOW_GUIDANCE","FY2015")</f>
        <v>3700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_xll.ciqfunctions.udf.CIQ("XYL","IQ_REVENUE_LOW_GUIDANCE","FY2016")</f>
        <v>3800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_xll.ciqfunctions.udf.CIQ("XYL","IQ_REVENUE_LOW_GUIDANCE","FY2017")</f>
        <v>4700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_xll.ciqfunctions.udf.CIQ("XYL","IQ_REVENUE_LOW_GUIDANCE","FY2018")</f>
        <v>5200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_xll.ciqfunctions.udf.CIQ("XYL","IQ_REVENUE_LOW_GUIDANCE","FY2019")</f>
        <v>5240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>
        <f>_xll.ciqfunctions.udf.CIQ("XYL","IQ_EBITDA_GUIDANCE","FY2014")</f>
        <v>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>
        <f>_xll.ciqfunctions.udf.CIQ("XYL","IQ_EBITDA_GUIDANCE","FY2015")</f>
        <v>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>
        <f>_xll.ciqfunctions.udf.CIQ("XYL","IQ_EBITDA_GUIDANCE","FY2016")</f>
        <v>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>
        <f>_xll.ciqfunctions.udf.CIQ("XYL","IQ_EBITDA_GUIDANCE","FY2017")</f>
        <v>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 t="str">
        <f>_xll.ciqfunctions.udf.CIQ("XYL","IQ_EBITDA_GUIDANCE","FY2018")</f>
        <v>1029.60 - 1040.00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 t="str">
        <f>_xll.ciqfunctions.udf.CIQ("XYL","IQ_EBITDA_GUIDANCE","FY2019")</f>
        <v>1027.00 - 1038.20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 t="str">
        <f>_xll.ciqfunctions.udf.CIQ("YUM","IQ_EPS_EXCL_GUIDANCE","FY2014")</f>
        <v>3.09 - 3.15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 t="str">
        <f>_xll.ciqfunctions.udf.CIQ("YUM","IQ_EPS_EXCL_GUIDANCE","FY2015")</f>
        <v>3.12 - 3.18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>
        <f>_xll.ciqfunctions.udf.CIQ("YUM","IQ_EPS_EXCL_GUIDANCE","FY2016")</f>
        <v>0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>
        <f>_xll.ciqfunctions.udf.CIQ("YUM","IQ_EPS_EXCL_GUIDANCE","FY2017")</f>
        <v>0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>
        <f>_xll.ciqfunctions.udf.CIQ("YUM","IQ_EPS_EXCL_GUIDANCE","FY2018")</f>
        <v>0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 t="str">
        <f>_xll.ciqfunctions.udf.CIQ("YUM","IQ_EPS_EXCL_GUIDANCE","FY2019")</f>
        <v xml:space="preserve"> &gt; 3.75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_xll.ciqfunctions.udf.CIQ("YUM","IQ_EPS_EXCL_HIGH_GUIDANCE","FY2014")</f>
        <v>3.1482000000000001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_xll.ciqfunctions.udf.CIQ("YUM","IQ_EPS_EXCL_HIGH_GUIDANCE","FY2015")</f>
        <v>3.18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_xll.ciqfunctions.udf.CIQ("YUM","IQ_EPS_EXCL_HIGH_GUIDANCE","FY2016")</f>
        <v>0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_xll.ciqfunctions.udf.CIQ("YUM","IQ_EPS_EXCL_HIGH_GUIDANCE","FY2017")</f>
        <v>0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_xll.ciqfunctions.udf.CIQ("YUM","IQ_EPS_EXCL_HIGH_GUIDANCE","FY2018")</f>
        <v>0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_xll.ciqfunctions.udf.CIQ("YUM","IQ_EPS_EXCL_HIGH_GUIDANCE","FY2019")</f>
        <v>0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_xll.ciqfunctions.udf.CIQ("YUM","IQ_EPS_EXCL_LOW_GUIDANCE","FY2014")</f>
        <v>3.0888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_xll.ciqfunctions.udf.CIQ("YUM","IQ_EPS_EXCL_LOW_GUIDANCE","FY2015")</f>
        <v>3.12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_xll.ciqfunctions.udf.CIQ("YUM","IQ_EPS_EXCL_LOW_GUIDANCE","FY2016")</f>
        <v>0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_xll.ciqfunctions.udf.CIQ("YUM","IQ_EPS_EXCL_LOW_GUIDANCE","FY2017")</f>
        <v>0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_xll.ciqfunctions.udf.CIQ("YUM","IQ_EPS_EXCL_LOW_GUIDANCE","FY2018")</f>
        <v>0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_xll.ciqfunctions.udf.CIQ("YUM","IQ_EPS_EXCL_LOW_GUIDANCE","FY2019")</f>
        <v>3.75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_xll.ciqfunctions.udf.CIQ("YUM","IQ_REVENUE_GUIDANCE","FY2014")</f>
        <v>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_xll.ciqfunctions.udf.CIQ("YUM","IQ_REVENUE_GUIDANCE","FY2015")</f>
        <v>0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_xll.ciqfunctions.udf.CIQ("YUM","IQ_REVENUE_GUIDANCE","FY2016")</f>
        <v>0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_xll.ciqfunctions.udf.CIQ("YUM","IQ_REVENUE_GUIDANCE","FY2017")</f>
        <v>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>
        <f>_xll.ciqfunctions.udf.CIQ("YUM","IQ_REVENUE_GUIDANCE","FY2018")</f>
        <v>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_xll.ciqfunctions.udf.CIQ("YUM","IQ_REVENUE_GUIDANCE","FY2019")</f>
        <v>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_xll.ciqfunctions.udf.CIQ("YUM","IQ_REVENUE_HIGH_GUIDANCE","FY2014")</f>
        <v>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_xll.ciqfunctions.udf.CIQ("YUM","IQ_REVENUE_HIGH_GUIDANCE","FY2015")</f>
        <v>0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_xll.ciqfunctions.udf.CIQ("YUM","IQ_REVENUE_HIGH_GUIDANCE","FY2016")</f>
        <v>0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_xll.ciqfunctions.udf.CIQ("YUM","IQ_REVENUE_HIGH_GUIDANCE","FY2017")</f>
        <v>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_xll.ciqfunctions.udf.CIQ("YUM","IQ_REVENUE_HIGH_GUIDANCE","FY2018")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_xll.ciqfunctions.udf.CIQ("YUM","IQ_REVENUE_HIGH_GUIDANCE","FY2019")</f>
        <v>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_xll.ciqfunctions.udf.CIQ("YUM","IQ_REVENUE_LOW_GUIDANCE","FY2014")</f>
        <v>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_xll.ciqfunctions.udf.CIQ("YUM","IQ_REVENUE_LOW_GUIDANCE","FY2015")</f>
        <v>0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_xll.ciqfunctions.udf.CIQ("YUM","IQ_REVENUE_LOW_GUIDANCE","FY2016")</f>
        <v>0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_xll.ciqfunctions.udf.CIQ("YUM","IQ_REVENUE_LOW_GUIDANCE","FY2017")</f>
        <v>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_xll.ciqfunctions.udf.CIQ("YUM","IQ_REVENUE_LOW_GUIDANCE","FY2018")</f>
        <v>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_xll.ciqfunctions.udf.CIQ("YUM","IQ_REVENUE_LOW_GUIDANCE","FY2019")</f>
        <v>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_xll.ciqfunctions.udf.CIQ("YUM","IQ_EBITDA_GUIDANCE","FY2014")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_xll.ciqfunctions.udf.CIQ("YUM","IQ_EBITDA_GUIDANCE","FY2015")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_xll.ciqfunctions.udf.CIQ("YUM","IQ_EBITDA_GUIDANCE","FY2016")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_xll.ciqfunctions.udf.CIQ("YUM","IQ_EBITDA_GUIDANCE","FY2017")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>
        <f>_xll.ciqfunctions.udf.CIQ("YUM","IQ_EBITDA_GUIDANCE","FY2018")</f>
        <v>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>
        <f>_xll.ciqfunctions.udf.CIQ("YUM","IQ_EBITDA_GUIDANCE","FY2019")</f>
        <v>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>
        <f>_xll.ciqfunctions.udf.CIQ("ZBH","IQ_EPS_EXCL_GUIDANCE","FY2014")</f>
        <v>6.05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 t="str">
        <f>_xll.ciqfunctions.udf.CIQ("ZBH","IQ_EPS_EXCL_GUIDANCE","FY2015")</f>
        <v>6.83 - 6.87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>
        <f>_xll.ciqfunctions.udf.CIQ("ZBH","IQ_EPS_EXCL_GUIDANCE","FY2016")</f>
        <v>7.95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 t="str">
        <f>_xll.ciqfunctions.udf.CIQ("ZBH","IQ_EPS_EXCL_GUIDANCE","FY2017")</f>
        <v>8.01 - 8.07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 t="str">
        <f>_xll.ciqfunctions.udf.CIQ("ZBH","IQ_EPS_EXCL_GUIDANCE","FY2018")</f>
        <v>7.60 - 7.80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 t="str">
        <f>_xll.ciqfunctions.udf.CIQ("ZBH","IQ_EPS_EXCL_GUIDANCE","FY2019")</f>
        <v>7.75 - 7.90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>
        <f>_xll.ciqfunctions.udf.CIQ("ZBH","IQ_EPS_EXCL_HIGH_GUIDANCE","FY2014")</f>
        <v>6.05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>
        <f>_xll.ciqfunctions.udf.CIQ("ZBH","IQ_EPS_EXCL_HIGH_GUIDANCE","FY2015")</f>
        <v>6.87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>
        <f>_xll.ciqfunctions.udf.CIQ("ZBH","IQ_EPS_EXCL_HIGH_GUIDANCE","FY2016")</f>
        <v>7.95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>
        <f>_xll.ciqfunctions.udf.CIQ("ZBH","IQ_EPS_EXCL_HIGH_GUIDANCE","FY2017")</f>
        <v>8.07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>
        <f>_xll.ciqfunctions.udf.CIQ("ZBH","IQ_EPS_EXCL_HIGH_GUIDANCE","FY2018")</f>
        <v>7.8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>
        <f>_xll.ciqfunctions.udf.CIQ("ZBH","IQ_EPS_EXCL_HIGH_GUIDANCE","FY2019")</f>
        <v>7.9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>
        <f>_xll.ciqfunctions.udf.CIQ("ZBH","IQ_EPS_EXCL_LOW_GUIDANCE","FY2014")</f>
        <v>6.05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>
        <f>_xll.ciqfunctions.udf.CIQ("ZBH","IQ_EPS_EXCL_LOW_GUIDANCE","FY2015")</f>
        <v>6.83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>
        <f>_xll.ciqfunctions.udf.CIQ("ZBH","IQ_EPS_EXCL_LOW_GUIDANCE","FY2016")</f>
        <v>7.95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>
        <f>_xll.ciqfunctions.udf.CIQ("ZBH","IQ_EPS_EXCL_LOW_GUIDANCE","FY2017")</f>
        <v>8.01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>
        <f>_xll.ciqfunctions.udf.CIQ("ZBH","IQ_EPS_EXCL_LOW_GUIDANCE","FY2018")</f>
        <v>7.6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>
        <f>_xll.ciqfunctions.udf.CIQ("ZBH","IQ_EPS_EXCL_LOW_GUIDANCE","FY2019")</f>
        <v>7.75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 t="str">
        <f>_xll.ciqfunctions.udf.CIQ("ZBH","IQ_REVENUE_GUIDANCE","FY2014")</f>
        <v xml:space="preserve"> &gt; 4692.75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 t="str">
        <f>_xll.ciqfunctions.udf.CIQ("ZBH","IQ_REVENUE_GUIDANCE","FY2015")</f>
        <v>4451.32 - 4474.68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>
        <f>_xll.ciqfunctions.udf.CIQ("ZBH","IQ_REVENUE_GUIDANCE","FY2016")</f>
        <v>7684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 t="str">
        <f>_xll.ciqfunctions.udf.CIQ("ZBH","IQ_REVENUE_GUIDANCE","FY2017")</f>
        <v>7760.00 - 7800.00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 t="str">
        <f>_xll.ciqfunctions.udf.CIQ("ZBH","IQ_REVENUE_GUIDANCE","FY2018")</f>
        <v xml:space="preserve"> &lt; 7902.34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 t="str">
        <f>_xll.ciqfunctions.udf.CIQ("ZBH","IQ_REVENUE_GUIDANCE","FY2019")</f>
        <v>7932.90 - 7972.56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>
        <f>_xll.ciqfunctions.udf.CIQ("ZBH","IQ_REVENUE_HIGH_GUIDANCE","FY2014")</f>
        <v>0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>
        <f>_xll.ciqfunctions.udf.CIQ("ZBH","IQ_REVENUE_HIGH_GUIDANCE","FY2015")</f>
        <v>4474.6848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>
        <f>_xll.ciqfunctions.udf.CIQ("ZBH","IQ_REVENUE_HIGH_GUIDANCE","FY2016")</f>
        <v>7684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>
        <f>_xll.ciqfunctions.udf.CIQ("ZBH","IQ_REVENUE_HIGH_GUIDANCE","FY2017")</f>
        <v>7800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>
        <f>_xll.ciqfunctions.udf.CIQ("ZBH","IQ_REVENUE_HIGH_GUIDANCE","FY2018")</f>
        <v>7902.3410000000003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>
        <f>_xll.ciqfunctions.udf.CIQ("ZBH","IQ_REVENUE_HIGH_GUIDANCE","FY2019")</f>
        <v>7972.5645000000004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>
        <f>_xll.ciqfunctions.udf.CIQ("ZBH","IQ_REVENUE_LOW_GUIDANCE","FY2014")</f>
        <v>4692.7510000000002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>
        <f>_xll.ciqfunctions.udf.CIQ("ZBH","IQ_REVENUE_LOW_GUIDANCE","FY2015")</f>
        <v>4451.3182999999999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>
        <f>_xll.ciqfunctions.udf.CIQ("ZBH","IQ_REVENUE_LOW_GUIDANCE","FY2016")</f>
        <v>7684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>
        <f>_xll.ciqfunctions.udf.CIQ("ZBH","IQ_REVENUE_LOW_GUIDANCE","FY2017")</f>
        <v>7760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>
        <f>_xll.ciqfunctions.udf.CIQ("ZBH","IQ_REVENUE_LOW_GUIDANCE","FY2018")</f>
        <v>0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>
        <f>_xll.ciqfunctions.udf.CIQ("ZBH","IQ_REVENUE_LOW_GUIDANCE","FY2019")</f>
        <v>7932.9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>
        <f>_xll.ciqfunctions.udf.CIQ("ZBH","IQ_EBITDA_GUIDANCE","FY2014")</f>
        <v>0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>
        <f>_xll.ciqfunctions.udf.CIQ("ZBH","IQ_EBITDA_GUIDANCE","FY2015")</f>
        <v>0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>
        <f>_xll.ciqfunctions.udf.CIQ("ZBH","IQ_EBITDA_GUIDANCE","FY2016")</f>
        <v>0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>
        <f>_xll.ciqfunctions.udf.CIQ("ZBH","IQ_EBITDA_GUIDANCE","FY2017")</f>
        <v>0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>
        <f>_xll.ciqfunctions.udf.CIQ("ZBH","IQ_EBITDA_GUIDANCE","FY2018")</f>
        <v>0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>
        <f>_xll.ciqfunctions.udf.CIQ("ZBH","IQ_EBITDA_GUIDANCE","FY2019")</f>
        <v>0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_xll.ciqfunctions.udf.CIQ("ZBRA","IQ_EPS_EXCL_GUIDANCE","FY2014")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>
        <f>_xll.ciqfunctions.udf.CIQ("ZBRA","IQ_EPS_EXCL_GUIDANCE","FY2015")</f>
        <v>0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>
        <f>_xll.ciqfunctions.udf.CIQ("ZBRA","IQ_EPS_EXCL_GUIDANCE","FY2016")</f>
        <v>0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_xll.ciqfunctions.udf.CIQ("ZBRA","IQ_EPS_EXCL_GUIDANCE","FY2017")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_xll.ciqfunctions.udf.CIQ("ZBRA","IQ_EPS_EXCL_GUIDANCE","FY2018")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>
        <f>_xll.ciqfunctions.udf.CIQ("ZBRA","IQ_EPS_EXCL_GUIDANCE","FY2019")</f>
        <v>0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_xll.ciqfunctions.udf.CIQ("ZBRA","IQ_EPS_EXCL_HIGH_GUIDANCE","FY2014")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_xll.ciqfunctions.udf.CIQ("ZBRA","IQ_EPS_EXCL_HIGH_GUIDANCE","FY2015")</f>
        <v>0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_xll.ciqfunctions.udf.CIQ("ZBRA","IQ_EPS_EXCL_HIGH_GUIDANCE","FY2016")</f>
        <v>0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_xll.ciqfunctions.udf.CIQ("ZBRA","IQ_EPS_EXCL_HIGH_GUIDANCE","FY2017")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_xll.ciqfunctions.udf.CIQ("ZBRA","IQ_EPS_EXCL_HIGH_GUIDANCE","FY2018")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_xll.ciqfunctions.udf.CIQ("ZBRA","IQ_EPS_EXCL_HIGH_GUIDANCE","FY2019")</f>
        <v>0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_xll.ciqfunctions.udf.CIQ("ZBRA","IQ_EPS_EXCL_LOW_GUIDANCE","FY2014")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_xll.ciqfunctions.udf.CIQ("ZBRA","IQ_EPS_EXCL_LOW_GUIDANCE","FY2015")</f>
        <v>0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_xll.ciqfunctions.udf.CIQ("ZBRA","IQ_EPS_EXCL_LOW_GUIDANCE","FY2016")</f>
        <v>0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_xll.ciqfunctions.udf.CIQ("ZBRA","IQ_EPS_EXCL_LOW_GUIDANCE","FY2017")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_xll.ciqfunctions.udf.CIQ("ZBRA","IQ_EPS_EXCL_LOW_GUIDANCE","FY2018")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_xll.ciqfunctions.udf.CIQ("ZBRA","IQ_EPS_EXCL_LOW_GUIDANCE","FY2019")</f>
        <v>0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>
        <f>_xll.ciqfunctions.udf.CIQ("ZBRA","IQ_REVENUE_GUIDANCE","FY2014")</f>
        <v>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>
        <f>_xll.ciqfunctions.udf.CIQ("ZBRA","IQ_REVENUE_GUIDANCE","FY2015")</f>
        <v>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 t="str">
        <f>_xll.ciqfunctions.udf.CIQ("ZBRA","IQ_REVENUE_GUIDANCE","FY2016")</f>
        <v>3557.96 - 3704.68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_xll.ciqfunctions.udf.CIQ("ZBRA","IQ_REVENUE_GUIDANCE","FY2017")</f>
        <v>0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 t="str">
        <f>_xll.ciqfunctions.udf.CIQ("ZBRA","IQ_REVENUE_GUIDANCE","FY2018")</f>
        <v>4094.20 - 4168.64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 t="str">
        <f>_xll.ciqfunctions.udf.CIQ("ZBRA","IQ_REVENUE_GUIDANCE","FY2019")</f>
        <v>4428.90 - 4555.44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_xll.ciqfunctions.udf.CIQ("ZBRA","IQ_REVENUE_HIGH_GUIDANCE","FY2014")</f>
        <v>0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_xll.ciqfunctions.udf.CIQ("ZBRA","IQ_REVENUE_HIGH_GUIDANCE","FY2015")</f>
        <v>0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_xll.ciqfunctions.udf.CIQ("ZBRA","IQ_REVENUE_HIGH_GUIDANCE","FY2016")</f>
        <v>3704.68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_xll.ciqfunctions.udf.CIQ("ZBRA","IQ_REVENUE_HIGH_GUIDANCE","FY2017")</f>
        <v>0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_xll.ciqfunctions.udf.CIQ("ZBRA","IQ_REVENUE_HIGH_GUIDANCE","FY2018")</f>
        <v>4168.6400000000003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_xll.ciqfunctions.udf.CIQ("ZBRA","IQ_REVENUE_HIGH_GUIDANCE","FY2019")</f>
        <v>4555.4399999999996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_xll.ciqfunctions.udf.CIQ("ZBRA","IQ_REVENUE_LOW_GUIDANCE","FY2014")</f>
        <v>0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_xll.ciqfunctions.udf.CIQ("ZBRA","IQ_REVENUE_LOW_GUIDANCE","FY2015")</f>
        <v>0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_xll.ciqfunctions.udf.CIQ("ZBRA","IQ_REVENUE_LOW_GUIDANCE","FY2016")</f>
        <v>3557.96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_xll.ciqfunctions.udf.CIQ("ZBRA","IQ_REVENUE_LOW_GUIDANCE","FY2017")</f>
        <v>0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_xll.ciqfunctions.udf.CIQ("ZBRA","IQ_REVENUE_LOW_GUIDANCE","FY2018")</f>
        <v>4094.2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_xll.ciqfunctions.udf.CIQ("ZBRA","IQ_REVENUE_LOW_GUIDANCE","FY2019")</f>
        <v>4428.8999999999996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_xll.ciqfunctions.udf.CIQ("ZBRA","IQ_EBITDA_GUIDANCE","FY2014")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_xll.ciqfunctions.udf.CIQ("ZBRA","IQ_EBITDA_GUIDANCE","FY2015")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 t="str">
        <f>_xll.ciqfunctions.udf.CIQ("ZBRA","IQ_EBITDA_GUIDANCE","FY2016")</f>
        <v xml:space="preserve"> &gt; 604.85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 t="str">
        <f>_xll.ciqfunctions.udf.CIQ("ZBRA","IQ_EBITDA_GUIDANCE","FY2017")</f>
        <v>625.77 - 694.58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 t="str">
        <f>_xll.ciqfunctions.udf.CIQ("ZBRA","IQ_EBITDA_GUIDANCE","FY2018")</f>
        <v>818.84 - 833.73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 t="str">
        <f>_xll.ciqfunctions.udf.CIQ("ZBRA","IQ_EBITDA_GUIDANCE","FY2019")</f>
        <v>974.36 - 1002.20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>
        <f>_xll.ciqfunctions.udf.CIQ("ZEUS","IQ_EPS_EXCL_GUIDANCE","FY2014")</f>
        <v>0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>
        <f>_xll.ciqfunctions.udf.CIQ("ZEUS","IQ_EPS_EXCL_GUIDANCE","FY2015")</f>
        <v>0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>
        <f>_xll.ciqfunctions.udf.CIQ("ZEUS","IQ_EPS_EXCL_GUIDANCE","FY2016")</f>
        <v>0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>
        <f>_xll.ciqfunctions.udf.CIQ("ZEUS","IQ_EPS_EXCL_GUIDANCE","FY2017")</f>
        <v>0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>
        <f>_xll.ciqfunctions.udf.CIQ("ZEUS","IQ_EPS_EXCL_GUIDANCE","FY2018")</f>
        <v>0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>
        <f>_xll.ciqfunctions.udf.CIQ("ZEUS","IQ_EPS_EXCL_GUIDANCE","FY2019")</f>
        <v>0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_xll.ciqfunctions.udf.CIQ("ZEUS","IQ_EPS_EXCL_HIGH_GUIDANCE","FY2014")</f>
        <v>0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_xll.ciqfunctions.udf.CIQ("ZEUS","IQ_EPS_EXCL_HIGH_GUIDANCE","FY2015")</f>
        <v>0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_xll.ciqfunctions.udf.CIQ("ZEUS","IQ_EPS_EXCL_HIGH_GUIDANCE","FY2016")</f>
        <v>0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_xll.ciqfunctions.udf.CIQ("ZEUS","IQ_EPS_EXCL_HIGH_GUIDANCE","FY2017")</f>
        <v>0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_xll.ciqfunctions.udf.CIQ("ZEUS","IQ_EPS_EXCL_HIGH_GUIDANCE","FY2018")</f>
        <v>0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_xll.ciqfunctions.udf.CIQ("ZEUS","IQ_EPS_EXCL_HIGH_GUIDANCE","FY2019")</f>
        <v>0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_xll.ciqfunctions.udf.CIQ("ZEUS","IQ_EPS_EXCL_LOW_GUIDANCE","FY2014")</f>
        <v>0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_xll.ciqfunctions.udf.CIQ("ZEUS","IQ_EPS_EXCL_LOW_GUIDANCE","FY2015")</f>
        <v>0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_xll.ciqfunctions.udf.CIQ("ZEUS","IQ_EPS_EXCL_LOW_GUIDANCE","FY2016")</f>
        <v>0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_xll.ciqfunctions.udf.CIQ("ZEUS","IQ_EPS_EXCL_LOW_GUIDANCE","FY2017")</f>
        <v>0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_xll.ciqfunctions.udf.CIQ("ZEUS","IQ_EPS_EXCL_LOW_GUIDANCE","FY2018")</f>
        <v>0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_xll.ciqfunctions.udf.CIQ("ZEUS","IQ_EPS_EXCL_LOW_GUIDANCE","FY2019")</f>
        <v>0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>
        <f>_xll.ciqfunctions.udf.CIQ("ZEUS","IQ_REVENUE_GUIDANCE","FY2014")</f>
        <v>0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>
        <f>_xll.ciqfunctions.udf.CIQ("ZEUS","IQ_REVENUE_GUIDANCE","FY2015")</f>
        <v>0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_xll.ciqfunctions.udf.CIQ("ZEUS","IQ_REVENUE_GUIDANCE","FY2016")</f>
        <v>0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>
        <f>_xll.ciqfunctions.udf.CIQ("ZEUS","IQ_REVENUE_GUIDANCE","FY2017")</f>
        <v>0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>
        <f>_xll.ciqfunctions.udf.CIQ("ZEUS","IQ_REVENUE_GUIDANCE","FY2018")</f>
        <v>0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>
        <f>_xll.ciqfunctions.udf.CIQ("ZEUS","IQ_REVENUE_GUIDANCE","FY2019")</f>
        <v>0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_xll.ciqfunctions.udf.CIQ("ZEUS","IQ_REVENUE_HIGH_GUIDANCE","FY2014")</f>
        <v>0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_xll.ciqfunctions.udf.CIQ("ZEUS","IQ_REVENUE_HIGH_GUIDANCE","FY2015")</f>
        <v>0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_xll.ciqfunctions.udf.CIQ("ZEUS","IQ_REVENUE_HIGH_GUIDANCE","FY2016")</f>
        <v>0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_xll.ciqfunctions.udf.CIQ("ZEUS","IQ_REVENUE_HIGH_GUIDANCE","FY2017")</f>
        <v>0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_xll.ciqfunctions.udf.CIQ("ZEUS","IQ_REVENUE_HIGH_GUIDANCE","FY2018")</f>
        <v>0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_xll.ciqfunctions.udf.CIQ("ZEUS","IQ_REVENUE_HIGH_GUIDANCE","FY2019")</f>
        <v>0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_xll.ciqfunctions.udf.CIQ("ZEUS","IQ_REVENUE_LOW_GUIDANCE","FY2014")</f>
        <v>0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_xll.ciqfunctions.udf.CIQ("ZEUS","IQ_REVENUE_LOW_GUIDANCE","FY2015")</f>
        <v>0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_xll.ciqfunctions.udf.CIQ("ZEUS","IQ_REVENUE_LOW_GUIDANCE","FY2016")</f>
        <v>0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_xll.ciqfunctions.udf.CIQ("ZEUS","IQ_REVENUE_LOW_GUIDANCE","FY2017")</f>
        <v>0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_xll.ciqfunctions.udf.CIQ("ZEUS","IQ_REVENUE_LOW_GUIDANCE","FY2018")</f>
        <v>0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_xll.ciqfunctions.udf.CIQ("ZEUS","IQ_REVENUE_LOW_GUIDANCE","FY2019")</f>
        <v>0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_xll.ciqfunctions.udf.CIQ("ZEUS","IQ_EBITDA_GUIDANCE","FY2014")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_xll.ciqfunctions.udf.CIQ("ZEUS","IQ_EBITDA_GUIDANCE","FY2015")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_xll.ciqfunctions.udf.CIQ("ZEUS","IQ_EBITDA_GUIDANCE","FY2016")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_xll.ciqfunctions.udf.CIQ("ZEUS","IQ_EBITDA_GUIDANCE","FY2017")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_xll.ciqfunctions.udf.CIQ("ZEUS","IQ_EBITDA_GUIDANCE","FY2018")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_xll.ciqfunctions.udf.CIQ("ZEUS","IQ_EBITDA_GUIDANCE","FY2019")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>
        <f>_xll.ciqfunctions.udf.CIQ("ZION","IQ_EPS_EXCL_GUIDANCE","FY2014")</f>
        <v>0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>
        <f>_xll.ciqfunctions.udf.CIQ("ZION","IQ_EPS_EXCL_GUIDANCE","FY2015")</f>
        <v>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>
        <f>_xll.ciqfunctions.udf.CIQ("ZION","IQ_EPS_EXCL_GUIDANCE","FY2016")</f>
        <v>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>
        <f>_xll.ciqfunctions.udf.CIQ("ZION","IQ_EPS_EXCL_GUIDANCE","FY2017")</f>
        <v>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>
        <f>_xll.ciqfunctions.udf.CIQ("ZION","IQ_EPS_EXCL_GUIDANCE","FY2018")</f>
        <v>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>
        <f>_xll.ciqfunctions.udf.CIQ("ZION","IQ_EPS_EXCL_GUIDANCE","FY2019")</f>
        <v>0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_xll.ciqfunctions.udf.CIQ("ZION","IQ_EPS_EXCL_HIGH_GUIDANCE","FY2014")</f>
        <v>0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_xll.ciqfunctions.udf.CIQ("ZION","IQ_EPS_EXCL_HIGH_GUIDANCE","FY2015")</f>
        <v>0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_xll.ciqfunctions.udf.CIQ("ZION","IQ_EPS_EXCL_HIGH_GUIDANCE","FY2016")</f>
        <v>0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_xll.ciqfunctions.udf.CIQ("ZION","IQ_EPS_EXCL_HIGH_GUIDANCE","FY2017")</f>
        <v>0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_xll.ciqfunctions.udf.CIQ("ZION","IQ_EPS_EXCL_HIGH_GUIDANCE","FY2018")</f>
        <v>0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_xll.ciqfunctions.udf.CIQ("ZION","IQ_EPS_EXCL_HIGH_GUIDANCE","FY2019")</f>
        <v>0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_xll.ciqfunctions.udf.CIQ("ZION","IQ_EPS_EXCL_LOW_GUIDANCE","FY2014")</f>
        <v>0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_xll.ciqfunctions.udf.CIQ("ZION","IQ_EPS_EXCL_LOW_GUIDANCE","FY2015")</f>
        <v>0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_xll.ciqfunctions.udf.CIQ("ZION","IQ_EPS_EXCL_LOW_GUIDANCE","FY2016")</f>
        <v>0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_xll.ciqfunctions.udf.CIQ("ZION","IQ_EPS_EXCL_LOW_GUIDANCE","FY2017")</f>
        <v>0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_xll.ciqfunctions.udf.CIQ("ZION","IQ_EPS_EXCL_LOW_GUIDANCE","FY2018")</f>
        <v>0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_xll.ciqfunctions.udf.CIQ("ZION","IQ_EPS_EXCL_LOW_GUIDANCE","FY2019")</f>
        <v>0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>
        <f>_xll.ciqfunctions.udf.CIQ("ZION","IQ_REVENUE_GUIDANCE","FY2014")</f>
        <v>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>
        <f>_xll.ciqfunctions.udf.CIQ("ZION","IQ_REVENUE_GUIDANCE","FY2015")</f>
        <v>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>
        <f>_xll.ciqfunctions.udf.CIQ("ZION","IQ_REVENUE_GUIDANCE","FY2016")</f>
        <v>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>
        <f>_xll.ciqfunctions.udf.CIQ("ZION","IQ_REVENUE_GUIDANCE","FY2017")</f>
        <v>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_xll.ciqfunctions.udf.CIQ("ZION","IQ_REVENUE_GUIDANCE","FY2018")</f>
        <v>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>
        <f>_xll.ciqfunctions.udf.CIQ("ZION","IQ_REVENUE_GUIDANCE","FY2019")</f>
        <v>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_xll.ciqfunctions.udf.CIQ("ZION","IQ_REVENUE_HIGH_GUIDANCE","FY2014")</f>
        <v>0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_xll.ciqfunctions.udf.CIQ("ZION","IQ_REVENUE_HIGH_GUIDANCE","FY2015")</f>
        <v>0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_xll.ciqfunctions.udf.CIQ("ZION","IQ_REVENUE_HIGH_GUIDANCE","FY2016")</f>
        <v>0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_xll.ciqfunctions.udf.CIQ("ZION","IQ_REVENUE_HIGH_GUIDANCE","FY2017")</f>
        <v>0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_xll.ciqfunctions.udf.CIQ("ZION","IQ_REVENUE_HIGH_GUIDANCE","FY2018")</f>
        <v>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_xll.ciqfunctions.udf.CIQ("ZION","IQ_REVENUE_HIGH_GUIDANCE","FY2019")</f>
        <v>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_xll.ciqfunctions.udf.CIQ("ZION","IQ_REVENUE_LOW_GUIDANCE","FY2014")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_xll.ciqfunctions.udf.CIQ("ZION","IQ_REVENUE_LOW_GUIDANCE","FY2015")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_xll.ciqfunctions.udf.CIQ("ZION","IQ_REVENUE_LOW_GUIDANCE","FY2016")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_xll.ciqfunctions.udf.CIQ("ZION","IQ_REVENUE_LOW_GUIDANCE","FY2017")</f>
        <v>0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_xll.ciqfunctions.udf.CIQ("ZION","IQ_REVENUE_LOW_GUIDANCE","FY2018")</f>
        <v>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_xll.ciqfunctions.udf.CIQ("ZION","IQ_REVENUE_LOW_GUIDANCE","FY2019")</f>
        <v>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_xll.ciqfunctions.udf.CIQ("ZION","IQ_EBITDA_GUIDANCE","FY2014")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_xll.ciqfunctions.udf.CIQ("ZION","IQ_EBITDA_GUIDANCE","FY2015")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_xll.ciqfunctions.udf.CIQ("ZION","IQ_EBITDA_GUIDANCE","FY2016")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_xll.ciqfunctions.udf.CIQ("ZION","IQ_EBITDA_GUIDANCE","FY2017")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_xll.ciqfunctions.udf.CIQ("ZION","IQ_EBITDA_GUIDANCE","FY2018")</f>
        <v>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>
        <f>_xll.ciqfunctions.udf.CIQ("ZION","IQ_EBITDA_GUIDANCE","FY2019")</f>
        <v>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 t="str">
        <f>_xll.ciqfunctions.udf.CIQ("ZTS","IQ_EPS_EXCL_GUIDANCE","FY2014")</f>
        <v>1.50 - 1.54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 t="str">
        <f>_xll.ciqfunctions.udf.CIQ("ZTS","IQ_EPS_EXCL_GUIDANCE","FY2015")</f>
        <v>1.70 - 1.74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 t="str">
        <f>_xll.ciqfunctions.udf.CIQ("ZTS","IQ_EPS_EXCL_GUIDANCE","FY2016")</f>
        <v>1.91 - 1.96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 t="str">
        <f>_xll.ciqfunctions.udf.CIQ("ZTS","IQ_EPS_EXCL_GUIDANCE","FY2017")</f>
        <v>2.34 - 2.39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 t="str">
        <f>_xll.ciqfunctions.udf.CIQ("ZTS","IQ_EPS_EXCL_GUIDANCE","FY2018")</f>
        <v>3.08 - 3.13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 t="str">
        <f>_xll.ciqfunctions.udf.CIQ("ZTS","IQ_EPS_EXCL_GUIDANCE","FY2019")</f>
        <v>3.57 - 3.62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_xll.ciqfunctions.udf.CIQ("ZTS","IQ_EPS_EXCL_HIGH_GUIDANCE","FY2014")</f>
        <v>1.54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_xll.ciqfunctions.udf.CIQ("ZTS","IQ_EPS_EXCL_HIGH_GUIDANCE","FY2015")</f>
        <v>1.74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_xll.ciqfunctions.udf.CIQ("ZTS","IQ_EPS_EXCL_HIGH_GUIDANCE","FY2016")</f>
        <v>1.96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_xll.ciqfunctions.udf.CIQ("ZTS","IQ_EPS_EXCL_HIGH_GUIDANCE","FY2017")</f>
        <v>2.39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_xll.ciqfunctions.udf.CIQ("ZTS","IQ_EPS_EXCL_HIGH_GUIDANCE","FY2018")</f>
        <v>3.13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_xll.ciqfunctions.udf.CIQ("ZTS","IQ_EPS_EXCL_HIGH_GUIDANCE","FY2019")</f>
        <v>3.62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_xll.ciqfunctions.udf.CIQ("ZTS","IQ_EPS_EXCL_LOW_GUIDANCE","FY2014")</f>
        <v>1.5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_xll.ciqfunctions.udf.CIQ("ZTS","IQ_EPS_EXCL_LOW_GUIDANCE","FY2015")</f>
        <v>1.7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_xll.ciqfunctions.udf.CIQ("ZTS","IQ_EPS_EXCL_LOW_GUIDANCE","FY2016")</f>
        <v>1.91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_xll.ciqfunctions.udf.CIQ("ZTS","IQ_EPS_EXCL_LOW_GUIDANCE","FY2017")</f>
        <v>2.34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_xll.ciqfunctions.udf.CIQ("ZTS","IQ_EPS_EXCL_LOW_GUIDANCE","FY2018")</f>
        <v>3.08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_xll.ciqfunctions.udf.CIQ("ZTS","IQ_EPS_EXCL_LOW_GUIDANCE","FY2019")</f>
        <v>3.57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 t="str">
        <f>_xll.ciqfunctions.udf.CIQ("ZTS","IQ_REVENUE_GUIDANCE","FY2014")</f>
        <v>4700.00 - 4750.00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 t="str">
        <f>_xll.ciqfunctions.udf.CIQ("ZTS","IQ_REVENUE_GUIDANCE","FY2015")</f>
        <v>4700.00 - 4750.00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 t="str">
        <f>_xll.ciqfunctions.udf.CIQ("ZTS","IQ_REVENUE_GUIDANCE","FY2016")</f>
        <v>4850.00 - 4900.00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 t="str">
        <f>_xll.ciqfunctions.udf.CIQ("ZTS","IQ_REVENUE_GUIDANCE","FY2017")</f>
        <v>5225.00 - 5275.00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 t="str">
        <f>_xll.ciqfunctions.udf.CIQ("ZTS","IQ_REVENUE_GUIDANCE","FY2018")</f>
        <v>5750.00 - 5800.00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 t="str">
        <f>_xll.ciqfunctions.udf.CIQ("ZTS","IQ_REVENUE_GUIDANCE","FY2019")</f>
        <v>6200.00 - 6250.00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_xll.ciqfunctions.udf.CIQ("ZTS","IQ_REVENUE_HIGH_GUIDANCE","FY2014")</f>
        <v>4750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_xll.ciqfunctions.udf.CIQ("ZTS","IQ_REVENUE_HIGH_GUIDANCE","FY2015")</f>
        <v>4750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_xll.ciqfunctions.udf.CIQ("ZTS","IQ_REVENUE_HIGH_GUIDANCE","FY2016")</f>
        <v>4900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_xll.ciqfunctions.udf.CIQ("ZTS","IQ_REVENUE_HIGH_GUIDANCE","FY2017")</f>
        <v>5275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_xll.ciqfunctions.udf.CIQ("ZTS","IQ_REVENUE_HIGH_GUIDANCE","FY2018")</f>
        <v>5800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_xll.ciqfunctions.udf.CIQ("ZTS","IQ_REVENUE_HIGH_GUIDANCE","FY2019")</f>
        <v>6250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_xll.ciqfunctions.udf.CIQ("ZTS","IQ_REVENUE_LOW_GUIDANCE","FY2014")</f>
        <v>4700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_xll.ciqfunctions.udf.CIQ("ZTS","IQ_REVENUE_LOW_GUIDANCE","FY2015")</f>
        <v>4700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_xll.ciqfunctions.udf.CIQ("ZTS","IQ_REVENUE_LOW_GUIDANCE","FY2016")</f>
        <v>4850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_xll.ciqfunctions.udf.CIQ("ZTS","IQ_REVENUE_LOW_GUIDANCE","FY2017")</f>
        <v>5225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_xll.ciqfunctions.udf.CIQ("ZTS","IQ_REVENUE_LOW_GUIDANCE","FY2018")</f>
        <v>5750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_xll.ciqfunctions.udf.CIQ("ZTS","IQ_REVENUE_LOW_GUIDANCE","FY2019")</f>
        <v>6200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_xll.ciqfunctions.udf.CIQ("ZTS","IQ_EBITDA_GUIDANCE","FY2014")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_xll.ciqfunctions.udf.CIQ("ZTS","IQ_EBITDA_GUIDANCE","FY2015")</f>
        <v>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_xll.ciqfunctions.udf.CIQ("ZTS","IQ_EBITDA_GUIDANCE","FY2016")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_xll.ciqfunctions.udf.CIQ("ZTS","IQ_EBITDA_GUIDANCE","FY2017")</f>
        <v>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>
        <f>_xll.ciqfunctions.udf.CIQ("ZTS","IQ_EBITDA_GUIDANCE","FY2018")</f>
        <v>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_xll.ciqfunctions.udf.CIQ("ZTS","IQ_EBITDA_GUIDANCE","FY2019")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>
        <f>_xll.ciqfunctions.udf.CIQ("ZUMZ","IQ_EPS_EXCL_GUIDANCE","FY2014")</f>
        <v>0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>
        <f>_xll.ciqfunctions.udf.CIQ("ZUMZ","IQ_EPS_EXCL_GUIDANCE","FY2015")</f>
        <v>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>
        <f>_xll.ciqfunctions.udf.CIQ("ZUMZ","IQ_EPS_EXCL_GUIDANCE","FY2016")</f>
        <v>0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_xll.ciqfunctions.udf.CIQ("ZUMZ","IQ_EPS_EXCL_GUIDANCE","FY2017")</f>
        <v>0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>
        <f>_xll.ciqfunctions.udf.CIQ("ZUMZ","IQ_EPS_EXCL_GUIDANCE","FY2018")</f>
        <v>0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>
        <f>_xll.ciqfunctions.udf.CIQ("ZUMZ","IQ_EPS_EXCL_GUIDANCE","FY2019")</f>
        <v>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_xll.ciqfunctions.udf.CIQ("ZUMZ","IQ_EPS_EXCL_HIGH_GUIDANCE","FY2014")</f>
        <v>0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_xll.ciqfunctions.udf.CIQ("ZUMZ","IQ_EPS_EXCL_HIGH_GUIDANCE","FY2015")</f>
        <v>0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_xll.ciqfunctions.udf.CIQ("ZUMZ","IQ_EPS_EXCL_HIGH_GUIDANCE","FY2016")</f>
        <v>0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_xll.ciqfunctions.udf.CIQ("ZUMZ","IQ_EPS_EXCL_HIGH_GUIDANCE","FY2017")</f>
        <v>0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_xll.ciqfunctions.udf.CIQ("ZUMZ","IQ_EPS_EXCL_HIGH_GUIDANCE","FY2018")</f>
        <v>0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_xll.ciqfunctions.udf.CIQ("ZUMZ","IQ_EPS_EXCL_HIGH_GUIDANCE","FY2019")</f>
        <v>0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_xll.ciqfunctions.udf.CIQ("ZUMZ","IQ_EPS_EXCL_LOW_GUIDANCE","FY2014")</f>
        <v>0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_xll.ciqfunctions.udf.CIQ("ZUMZ","IQ_EPS_EXCL_LOW_GUIDANCE","FY2015")</f>
        <v>0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_xll.ciqfunctions.udf.CIQ("ZUMZ","IQ_EPS_EXCL_LOW_GUIDANCE","FY2016")</f>
        <v>0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_xll.ciqfunctions.udf.CIQ("ZUMZ","IQ_EPS_EXCL_LOW_GUIDANCE","FY2017")</f>
        <v>0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_xll.ciqfunctions.udf.CIQ("ZUMZ","IQ_EPS_EXCL_LOW_GUIDANCE","FY2018")</f>
        <v>0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_xll.ciqfunctions.udf.CIQ("ZUMZ","IQ_EPS_EXCL_LOW_GUIDANCE","FY2019")</f>
        <v>0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>
        <f>_xll.ciqfunctions.udf.CIQ("ZUMZ","IQ_REVENUE_GUIDANCE","FY2014")</f>
        <v>0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_xll.ciqfunctions.udf.CIQ("ZUMZ","IQ_REVENUE_GUIDANCE","FY2015")</f>
        <v>0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_xll.ciqfunctions.udf.CIQ("ZUMZ","IQ_REVENUE_GUIDANCE","FY2016")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>
        <f>_xll.ciqfunctions.udf.CIQ("ZUMZ","IQ_REVENUE_GUIDANCE","FY2017")</f>
        <v>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>
        <f>_xll.ciqfunctions.udf.CIQ("ZUMZ","IQ_REVENUE_GUIDANCE","FY2018")</f>
        <v>0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>
        <f>_xll.ciqfunctions.udf.CIQ("ZUMZ","IQ_REVENUE_GUIDANCE","FY2019")</f>
        <v>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_xll.ciqfunctions.udf.CIQ("ZUMZ","IQ_REVENUE_HIGH_GUIDANCE","FY2014")</f>
        <v>0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_xll.ciqfunctions.udf.CIQ("ZUMZ","IQ_REVENUE_HIGH_GUIDANCE","FY2015")</f>
        <v>0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_xll.ciqfunctions.udf.CIQ("ZUMZ","IQ_REVENUE_HIGH_GUIDANCE","FY2016")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_xll.ciqfunctions.udf.CIQ("ZUMZ","IQ_REVENUE_HIGH_GUIDANCE","FY2017")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_xll.ciqfunctions.udf.CIQ("ZUMZ","IQ_REVENUE_HIGH_GUIDANCE","FY2018")</f>
        <v>0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_xll.ciqfunctions.udf.CIQ("ZUMZ","IQ_REVENUE_HIGH_GUIDANCE","FY2019")</f>
        <v>0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_xll.ciqfunctions.udf.CIQ("ZUMZ","IQ_REVENUE_LOW_GUIDANCE","FY2014")</f>
        <v>0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_xll.ciqfunctions.udf.CIQ("ZUMZ","IQ_REVENUE_LOW_GUIDANCE","FY2015")</f>
        <v>0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_xll.ciqfunctions.udf.CIQ("ZUMZ","IQ_REVENUE_LOW_GUIDANCE","FY2016")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_xll.ciqfunctions.udf.CIQ("ZUMZ","IQ_REVENUE_LOW_GUIDANCE","FY2017")</f>
        <v>0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_xll.ciqfunctions.udf.CIQ("ZUMZ","IQ_REVENUE_LOW_GUIDANCE","FY2018")</f>
        <v>0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_xll.ciqfunctions.udf.CIQ("ZUMZ","IQ_REVENUE_LOW_GUIDANCE","FY2019")</f>
        <v>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_xll.ciqfunctions.udf.CIQ("ZUMZ","IQ_EBITDA_GUIDANCE","FY2014")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_xll.ciqfunctions.udf.CIQ("ZUMZ","IQ_EBITDA_GUIDANCE","FY2015")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_xll.ciqfunctions.udf.CIQ("ZUMZ","IQ_EBITDA_GUIDANCE","FY2016")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_xll.ciqfunctions.udf.CIQ("ZUMZ","IQ_EBITDA_GUIDANCE","FY2017")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>
        <f>_xll.ciqfunctions.udf.CIQ("ZUMZ","IQ_EBITDA_GUIDANCE","FY2018")</f>
        <v>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>
        <f>_xll.ciqfunctions.udf.CIQ("ZUMZ","IQ_EBITDA_GUIDANCE","FY2019")</f>
        <v>0</v>
      </c>
      <c r="F547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2026-04-22T18:34:33Z</dcterms:created>
  <dcterms:modified xsi:type="dcterms:W3CDTF">2026-04-22T18:44:33Z</dcterms:modified>
</cp:coreProperties>
</file>